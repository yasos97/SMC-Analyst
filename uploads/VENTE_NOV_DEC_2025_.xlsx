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sine\Downloads\"/>
    </mc:Choice>
  </mc:AlternateContent>
  <xr:revisionPtr revIDLastSave="0" documentId="13_ncr:1_{29992C96-549D-4D90-91A8-14DE9A220475}" xr6:coauthVersionLast="47" xr6:coauthVersionMax="47" xr10:uidLastSave="{00000000-0000-0000-0000-000000000000}"/>
  <bookViews>
    <workbookView xWindow="-108" yWindow="-108" windowWidth="23256" windowHeight="12456" xr2:uid="{74A26E16-B45A-495D-A598-BFEC273DF422}"/>
  </bookViews>
  <sheets>
    <sheet name="VENTE 2025" sheetId="1" r:id="rId1"/>
  </sheets>
  <definedNames>
    <definedName name="_xlnm._FilterDatabase" localSheetId="0" hidden="1">'VENTE 2025'!$A$1:$M$128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28" i="1" l="1"/>
  <c r="K128" i="1" s="1"/>
  <c r="C128" i="1"/>
  <c r="B128" i="1"/>
  <c r="J127" i="1"/>
  <c r="K127" i="1" s="1"/>
  <c r="C127" i="1"/>
  <c r="B127" i="1"/>
  <c r="J126" i="1"/>
  <c r="K126" i="1" s="1"/>
  <c r="C126" i="1"/>
  <c r="B126" i="1"/>
  <c r="J125" i="1"/>
  <c r="K125" i="1" s="1"/>
  <c r="C125" i="1"/>
  <c r="B125" i="1"/>
  <c r="L125" i="1" s="1"/>
  <c r="J124" i="1"/>
  <c r="K124" i="1" s="1"/>
  <c r="C124" i="1"/>
  <c r="B124" i="1"/>
  <c r="J123" i="1"/>
  <c r="K123" i="1" s="1"/>
  <c r="C123" i="1"/>
  <c r="B123" i="1"/>
  <c r="L123" i="1" s="1"/>
  <c r="J122" i="1"/>
  <c r="K122" i="1" s="1"/>
  <c r="C122" i="1"/>
  <c r="B122" i="1"/>
  <c r="L122" i="1" s="1"/>
  <c r="J121" i="1"/>
  <c r="K121" i="1" s="1"/>
  <c r="C121" i="1"/>
  <c r="B121" i="1"/>
  <c r="L121" i="1" s="1"/>
  <c r="J120" i="1"/>
  <c r="K120" i="1" s="1"/>
  <c r="C120" i="1"/>
  <c r="B120" i="1"/>
  <c r="L120" i="1" s="1"/>
  <c r="J119" i="1"/>
  <c r="K119" i="1" s="1"/>
  <c r="C119" i="1"/>
  <c r="B119" i="1"/>
  <c r="L119" i="1" s="1"/>
  <c r="J118" i="1"/>
  <c r="K118" i="1" s="1"/>
  <c r="C118" i="1"/>
  <c r="B118" i="1"/>
  <c r="J117" i="1"/>
  <c r="K117" i="1" s="1"/>
  <c r="C117" i="1"/>
  <c r="B117" i="1"/>
  <c r="J116" i="1"/>
  <c r="K116" i="1" s="1"/>
  <c r="C116" i="1"/>
  <c r="B116" i="1"/>
  <c r="J115" i="1"/>
  <c r="K115" i="1" s="1"/>
  <c r="C115" i="1"/>
  <c r="B115" i="1"/>
  <c r="L115" i="1" s="1"/>
  <c r="J114" i="1"/>
  <c r="K114" i="1" s="1"/>
  <c r="C114" i="1"/>
  <c r="B114" i="1"/>
  <c r="J113" i="1"/>
  <c r="K113" i="1" s="1"/>
  <c r="C113" i="1"/>
  <c r="B113" i="1"/>
  <c r="L113" i="1" s="1"/>
  <c r="J112" i="1"/>
  <c r="K112" i="1" s="1"/>
  <c r="C112" i="1"/>
  <c r="B112" i="1"/>
  <c r="J111" i="1"/>
  <c r="K111" i="1" s="1"/>
  <c r="C111" i="1"/>
  <c r="B111" i="1"/>
  <c r="L111" i="1" s="1"/>
  <c r="J110" i="1"/>
  <c r="K110" i="1" s="1"/>
  <c r="C110" i="1"/>
  <c r="B110" i="1"/>
  <c r="F109" i="1"/>
  <c r="E109" i="1"/>
  <c r="C109" i="1"/>
  <c r="B109" i="1"/>
  <c r="J108" i="1"/>
  <c r="K108" i="1" s="1"/>
  <c r="C108" i="1"/>
  <c r="B108" i="1"/>
  <c r="L108" i="1" s="1"/>
  <c r="J107" i="1"/>
  <c r="K107" i="1" s="1"/>
  <c r="C107" i="1"/>
  <c r="B107" i="1"/>
  <c r="J106" i="1"/>
  <c r="K106" i="1" s="1"/>
  <c r="C106" i="1"/>
  <c r="B106" i="1"/>
  <c r="J105" i="1"/>
  <c r="K105" i="1" s="1"/>
  <c r="C105" i="1"/>
  <c r="B105" i="1"/>
  <c r="L104" i="1"/>
  <c r="J104" i="1"/>
  <c r="K104" i="1" s="1"/>
  <c r="G104" i="1" s="1"/>
  <c r="L103" i="1"/>
  <c r="J103" i="1"/>
  <c r="K103" i="1" s="1"/>
  <c r="G103" i="1" s="1"/>
  <c r="L102" i="1"/>
  <c r="J102" i="1"/>
  <c r="K102" i="1" s="1"/>
  <c r="L101" i="1"/>
  <c r="J101" i="1"/>
  <c r="K101" i="1" s="1"/>
  <c r="L100" i="1"/>
  <c r="J100" i="1"/>
  <c r="K100" i="1" s="1"/>
  <c r="L99" i="1"/>
  <c r="J99" i="1"/>
  <c r="K99" i="1" s="1"/>
  <c r="G99" i="1" s="1"/>
  <c r="L98" i="1"/>
  <c r="J98" i="1"/>
  <c r="K98" i="1" s="1"/>
  <c r="L97" i="1"/>
  <c r="J97" i="1"/>
  <c r="K97" i="1" s="1"/>
  <c r="L96" i="1"/>
  <c r="J96" i="1"/>
  <c r="K96" i="1" s="1"/>
  <c r="G96" i="1" s="1"/>
  <c r="L95" i="1"/>
  <c r="J95" i="1"/>
  <c r="K95" i="1" s="1"/>
  <c r="G95" i="1" s="1"/>
  <c r="L94" i="1"/>
  <c r="J94" i="1"/>
  <c r="K94" i="1" s="1"/>
  <c r="L93" i="1"/>
  <c r="J93" i="1"/>
  <c r="K93" i="1" s="1"/>
  <c r="L92" i="1"/>
  <c r="J92" i="1"/>
  <c r="K92" i="1" s="1"/>
  <c r="L91" i="1"/>
  <c r="J91" i="1"/>
  <c r="K91" i="1" s="1"/>
  <c r="G91" i="1" s="1"/>
  <c r="L90" i="1"/>
  <c r="J90" i="1"/>
  <c r="K90" i="1" s="1"/>
  <c r="L89" i="1"/>
  <c r="J89" i="1"/>
  <c r="K89" i="1" s="1"/>
  <c r="L88" i="1"/>
  <c r="J88" i="1"/>
  <c r="K88" i="1" s="1"/>
  <c r="G88" i="1" s="1"/>
  <c r="L87" i="1"/>
  <c r="J87" i="1"/>
  <c r="K87" i="1" s="1"/>
  <c r="G87" i="1" s="1"/>
  <c r="L86" i="1"/>
  <c r="J86" i="1"/>
  <c r="K86" i="1" s="1"/>
  <c r="G86" i="1" s="1"/>
  <c r="L85" i="1"/>
  <c r="J85" i="1"/>
  <c r="K85" i="1" s="1"/>
  <c r="L84" i="1"/>
  <c r="J84" i="1"/>
  <c r="K84" i="1" s="1"/>
  <c r="L83" i="1"/>
  <c r="J83" i="1"/>
  <c r="K83" i="1" s="1"/>
  <c r="G83" i="1" s="1"/>
  <c r="L82" i="1"/>
  <c r="J82" i="1"/>
  <c r="K82" i="1" s="1"/>
  <c r="L81" i="1"/>
  <c r="J81" i="1"/>
  <c r="K81" i="1" s="1"/>
  <c r="L80" i="1"/>
  <c r="J80" i="1"/>
  <c r="K80" i="1" s="1"/>
  <c r="G80" i="1" s="1"/>
  <c r="L79" i="1"/>
  <c r="J79" i="1"/>
  <c r="K79" i="1" s="1"/>
  <c r="L78" i="1"/>
  <c r="J78" i="1"/>
  <c r="K78" i="1" s="1"/>
  <c r="L77" i="1"/>
  <c r="J77" i="1"/>
  <c r="K77" i="1" s="1"/>
  <c r="L76" i="1"/>
  <c r="G76" i="1" s="1"/>
  <c r="J76" i="1"/>
  <c r="K76" i="1" s="1"/>
  <c r="L75" i="1"/>
  <c r="J75" i="1"/>
  <c r="K75" i="1" s="1"/>
  <c r="G75" i="1" s="1"/>
  <c r="L74" i="1"/>
  <c r="J74" i="1"/>
  <c r="K74" i="1" s="1"/>
  <c r="L73" i="1"/>
  <c r="J73" i="1"/>
  <c r="K73" i="1" s="1"/>
  <c r="L72" i="1"/>
  <c r="J72" i="1"/>
  <c r="K72" i="1" s="1"/>
  <c r="G72" i="1" s="1"/>
  <c r="L71" i="1"/>
  <c r="J71" i="1"/>
  <c r="K71" i="1" s="1"/>
  <c r="G71" i="1" s="1"/>
  <c r="L70" i="1"/>
  <c r="J70" i="1"/>
  <c r="K70" i="1" s="1"/>
  <c r="L69" i="1"/>
  <c r="J69" i="1"/>
  <c r="K69" i="1" s="1"/>
  <c r="L68" i="1"/>
  <c r="J68" i="1"/>
  <c r="K68" i="1" s="1"/>
  <c r="G68" i="1" s="1"/>
  <c r="L67" i="1"/>
  <c r="J67" i="1"/>
  <c r="K67" i="1" s="1"/>
  <c r="G67" i="1" s="1"/>
  <c r="L66" i="1"/>
  <c r="J66" i="1"/>
  <c r="K66" i="1" s="1"/>
  <c r="G66" i="1" s="1"/>
  <c r="L65" i="1"/>
  <c r="J65" i="1"/>
  <c r="K65" i="1" s="1"/>
  <c r="L64" i="1"/>
  <c r="J64" i="1"/>
  <c r="K64" i="1" s="1"/>
  <c r="L63" i="1"/>
  <c r="J63" i="1"/>
  <c r="K63" i="1" s="1"/>
  <c r="G63" i="1" s="1"/>
  <c r="L62" i="1"/>
  <c r="J62" i="1"/>
  <c r="K62" i="1" s="1"/>
  <c r="G62" i="1" s="1"/>
  <c r="L61" i="1"/>
  <c r="J61" i="1"/>
  <c r="K61" i="1" s="1"/>
  <c r="G61" i="1" s="1"/>
  <c r="L60" i="1"/>
  <c r="J60" i="1"/>
  <c r="K60" i="1" s="1"/>
  <c r="G60" i="1" s="1"/>
  <c r="L59" i="1"/>
  <c r="J59" i="1"/>
  <c r="K59" i="1" s="1"/>
  <c r="G59" i="1" s="1"/>
  <c r="L58" i="1"/>
  <c r="J58" i="1"/>
  <c r="K58" i="1" s="1"/>
  <c r="G58" i="1" s="1"/>
  <c r="L57" i="1"/>
  <c r="J57" i="1"/>
  <c r="K57" i="1" s="1"/>
  <c r="L56" i="1"/>
  <c r="J56" i="1"/>
  <c r="K56" i="1" s="1"/>
  <c r="L55" i="1"/>
  <c r="J55" i="1"/>
  <c r="K55" i="1" s="1"/>
  <c r="L54" i="1"/>
  <c r="J54" i="1"/>
  <c r="K54" i="1" s="1"/>
  <c r="G54" i="1" s="1"/>
  <c r="L53" i="1"/>
  <c r="J53" i="1"/>
  <c r="K53" i="1" s="1"/>
  <c r="G53" i="1" s="1"/>
  <c r="L52" i="1"/>
  <c r="J52" i="1"/>
  <c r="K52" i="1" s="1"/>
  <c r="G52" i="1" s="1"/>
  <c r="L51" i="1"/>
  <c r="J51" i="1"/>
  <c r="K51" i="1" s="1"/>
  <c r="L50" i="1"/>
  <c r="J50" i="1"/>
  <c r="K50" i="1" s="1"/>
  <c r="G50" i="1" s="1"/>
  <c r="L49" i="1"/>
  <c r="J49" i="1"/>
  <c r="K49" i="1" s="1"/>
  <c r="G49" i="1" s="1"/>
  <c r="L48" i="1"/>
  <c r="J48" i="1"/>
  <c r="K48" i="1" s="1"/>
  <c r="G48" i="1" s="1"/>
  <c r="L47" i="1"/>
  <c r="J47" i="1"/>
  <c r="K47" i="1" s="1"/>
  <c r="G47" i="1" s="1"/>
  <c r="L46" i="1"/>
  <c r="J46" i="1"/>
  <c r="K46" i="1" s="1"/>
  <c r="G46" i="1" s="1"/>
  <c r="L45" i="1"/>
  <c r="J45" i="1"/>
  <c r="K45" i="1" s="1"/>
  <c r="G45" i="1" s="1"/>
  <c r="L44" i="1"/>
  <c r="J44" i="1"/>
  <c r="K44" i="1" s="1"/>
  <c r="G44" i="1"/>
  <c r="L43" i="1"/>
  <c r="J43" i="1"/>
  <c r="K43" i="1" s="1"/>
  <c r="L42" i="1"/>
  <c r="G42" i="1" s="1"/>
  <c r="J42" i="1"/>
  <c r="K42" i="1" s="1"/>
  <c r="L41" i="1"/>
  <c r="J41" i="1"/>
  <c r="K41" i="1" s="1"/>
  <c r="L40" i="1"/>
  <c r="J40" i="1"/>
  <c r="K40" i="1" s="1"/>
  <c r="G40" i="1" s="1"/>
  <c r="L39" i="1"/>
  <c r="J39" i="1"/>
  <c r="K39" i="1" s="1"/>
  <c r="G39" i="1" s="1"/>
  <c r="L38" i="1"/>
  <c r="J38" i="1"/>
  <c r="K38" i="1" s="1"/>
  <c r="G38" i="1" s="1"/>
  <c r="L37" i="1"/>
  <c r="J37" i="1"/>
  <c r="K37" i="1" s="1"/>
  <c r="L36" i="1"/>
  <c r="J36" i="1"/>
  <c r="K36" i="1" s="1"/>
  <c r="L35" i="1"/>
  <c r="J35" i="1"/>
  <c r="K35" i="1" s="1"/>
  <c r="L34" i="1"/>
  <c r="J34" i="1"/>
  <c r="K34" i="1" s="1"/>
  <c r="G34" i="1" s="1"/>
  <c r="L33" i="1"/>
  <c r="J33" i="1"/>
  <c r="K33" i="1" s="1"/>
  <c r="L32" i="1"/>
  <c r="J32" i="1"/>
  <c r="K32" i="1" s="1"/>
  <c r="L31" i="1"/>
  <c r="J31" i="1"/>
  <c r="K31" i="1" s="1"/>
  <c r="L30" i="1"/>
  <c r="J30" i="1"/>
  <c r="K30" i="1" s="1"/>
  <c r="G30" i="1" s="1"/>
  <c r="L29" i="1"/>
  <c r="J29" i="1"/>
  <c r="K29" i="1" s="1"/>
  <c r="L28" i="1"/>
  <c r="J28" i="1"/>
  <c r="K28" i="1" s="1"/>
  <c r="G28" i="1" s="1"/>
  <c r="L27" i="1"/>
  <c r="J27" i="1"/>
  <c r="K27" i="1" s="1"/>
  <c r="G27" i="1" s="1"/>
  <c r="L26" i="1"/>
  <c r="J26" i="1"/>
  <c r="K26" i="1" s="1"/>
  <c r="G26" i="1" s="1"/>
  <c r="L25" i="1"/>
  <c r="J25" i="1"/>
  <c r="K25" i="1" s="1"/>
  <c r="L24" i="1"/>
  <c r="J24" i="1"/>
  <c r="K24" i="1" s="1"/>
  <c r="G24" i="1"/>
  <c r="L23" i="1"/>
  <c r="J23" i="1"/>
  <c r="K23" i="1" s="1"/>
  <c r="L22" i="1"/>
  <c r="J22" i="1"/>
  <c r="K22" i="1" s="1"/>
  <c r="L21" i="1"/>
  <c r="J21" i="1"/>
  <c r="K21" i="1" s="1"/>
  <c r="L20" i="1"/>
  <c r="J20" i="1"/>
  <c r="K20" i="1" s="1"/>
  <c r="L19" i="1"/>
  <c r="J19" i="1"/>
  <c r="K19" i="1" s="1"/>
  <c r="L18" i="1"/>
  <c r="J18" i="1"/>
  <c r="K18" i="1" s="1"/>
  <c r="L17" i="1"/>
  <c r="J17" i="1"/>
  <c r="K17" i="1" s="1"/>
  <c r="G17" i="1" s="1"/>
  <c r="L16" i="1"/>
  <c r="J16" i="1"/>
  <c r="K16" i="1" s="1"/>
  <c r="G16" i="1" s="1"/>
  <c r="L15" i="1"/>
  <c r="J15" i="1"/>
  <c r="K15" i="1" s="1"/>
  <c r="L14" i="1"/>
  <c r="J14" i="1"/>
  <c r="K14" i="1" s="1"/>
  <c r="L13" i="1"/>
  <c r="J13" i="1"/>
  <c r="K13" i="1" s="1"/>
  <c r="L12" i="1"/>
  <c r="J12" i="1"/>
  <c r="K12" i="1" s="1"/>
  <c r="L11" i="1"/>
  <c r="J11" i="1"/>
  <c r="K11" i="1" s="1"/>
  <c r="L10" i="1"/>
  <c r="J10" i="1"/>
  <c r="K10" i="1" s="1"/>
  <c r="L9" i="1"/>
  <c r="J9" i="1"/>
  <c r="K9" i="1" s="1"/>
  <c r="L8" i="1"/>
  <c r="J8" i="1"/>
  <c r="K8" i="1" s="1"/>
  <c r="G8" i="1" s="1"/>
  <c r="L7" i="1"/>
  <c r="J7" i="1"/>
  <c r="K7" i="1" s="1"/>
  <c r="L6" i="1"/>
  <c r="J6" i="1"/>
  <c r="K6" i="1" s="1"/>
  <c r="L5" i="1"/>
  <c r="J5" i="1"/>
  <c r="K5" i="1" s="1"/>
  <c r="L4" i="1"/>
  <c r="J4" i="1"/>
  <c r="K4" i="1" s="1"/>
  <c r="L3" i="1"/>
  <c r="J3" i="1"/>
  <c r="K3" i="1" s="1"/>
  <c r="L2" i="1"/>
  <c r="J2" i="1"/>
  <c r="K2" i="1" s="1"/>
  <c r="G11" i="1" l="1"/>
  <c r="G81" i="1"/>
  <c r="G89" i="1"/>
  <c r="G97" i="1"/>
  <c r="L105" i="1"/>
  <c r="L110" i="1"/>
  <c r="G110" i="1" s="1"/>
  <c r="L126" i="1"/>
  <c r="G126" i="1" s="1"/>
  <c r="G6" i="1"/>
  <c r="G14" i="1"/>
  <c r="G100" i="1"/>
  <c r="G12" i="1"/>
  <c r="G20" i="1"/>
  <c r="G82" i="1"/>
  <c r="G90" i="1"/>
  <c r="L116" i="1"/>
  <c r="G116" i="1" s="1"/>
  <c r="G15" i="1"/>
  <c r="G23" i="1"/>
  <c r="G77" i="1"/>
  <c r="L117" i="1"/>
  <c r="G117" i="1" s="1"/>
  <c r="L112" i="1"/>
  <c r="L128" i="1"/>
  <c r="G128" i="1" s="1"/>
  <c r="G102" i="1"/>
  <c r="G105" i="1"/>
  <c r="G25" i="1"/>
  <c r="G41" i="1"/>
  <c r="G2" i="1"/>
  <c r="G10" i="1"/>
  <c r="G18" i="1"/>
  <c r="G79" i="1"/>
  <c r="G94" i="1"/>
  <c r="L118" i="1"/>
  <c r="G118" i="1" s="1"/>
  <c r="G22" i="1"/>
  <c r="G115" i="1"/>
  <c r="G98" i="1"/>
  <c r="G119" i="1"/>
  <c r="G125" i="1"/>
  <c r="G112" i="1"/>
  <c r="G78" i="1"/>
  <c r="J109" i="1"/>
  <c r="K109" i="1" s="1"/>
  <c r="L114" i="1"/>
  <c r="G114" i="1" s="1"/>
  <c r="G70" i="1"/>
  <c r="G121" i="1"/>
  <c r="G21" i="1"/>
  <c r="G69" i="1"/>
  <c r="G9" i="1"/>
  <c r="G29" i="1"/>
  <c r="G36" i="1"/>
  <c r="G92" i="1"/>
  <c r="G108" i="1"/>
  <c r="G4" i="1"/>
  <c r="G32" i="1"/>
  <c r="G84" i="1"/>
  <c r="G111" i="1"/>
  <c r="G5" i="1"/>
  <c r="G33" i="1"/>
  <c r="G64" i="1"/>
  <c r="G74" i="1"/>
  <c r="G122" i="1"/>
  <c r="L109" i="1"/>
  <c r="G120" i="1"/>
  <c r="G43" i="1"/>
  <c r="G55" i="1"/>
  <c r="G93" i="1"/>
  <c r="G113" i="1"/>
  <c r="G123" i="1"/>
  <c r="G7" i="1"/>
  <c r="G13" i="1"/>
  <c r="G31" i="1"/>
  <c r="G73" i="1"/>
  <c r="G37" i="1"/>
  <c r="G101" i="1"/>
  <c r="G85" i="1"/>
  <c r="L106" i="1"/>
  <c r="G106" i="1" s="1"/>
  <c r="L124" i="1"/>
  <c r="G124" i="1" s="1"/>
  <c r="L127" i="1"/>
  <c r="G127" i="1" s="1"/>
  <c r="G3" i="1"/>
  <c r="G19" i="1"/>
  <c r="G35" i="1"/>
  <c r="G51" i="1"/>
  <c r="G65" i="1"/>
  <c r="L107" i="1"/>
  <c r="G107" i="1" s="1"/>
  <c r="G57" i="1"/>
  <c r="G109" i="1" l="1"/>
</calcChain>
</file>

<file path=xl/sharedStrings.xml><?xml version="1.0" encoding="utf-8"?>
<sst xmlns="http://schemas.openxmlformats.org/spreadsheetml/2006/main" count="267" uniqueCount="35">
  <si>
    <t xml:space="preserve">Date 
de Commande </t>
  </si>
  <si>
    <t>Prix d'Achat
Gasoil HT</t>
  </si>
  <si>
    <t>Prix d'Achat
Super SP HT</t>
  </si>
  <si>
    <t>Client</t>
  </si>
  <si>
    <t>Qte Gasoil 10 PPM/L</t>
  </si>
  <si>
    <t>Qte SUPER SP/L</t>
  </si>
  <si>
    <t>Marge Ht</t>
  </si>
  <si>
    <t>Prix de Vente
 Gasoil TTC</t>
  </si>
  <si>
    <t>Prix de Vente
 Super TTC</t>
  </si>
  <si>
    <t>Montant FA TTC</t>
  </si>
  <si>
    <t>C.A</t>
  </si>
  <si>
    <t>ACHAT HT</t>
  </si>
  <si>
    <t>STATUT</t>
  </si>
  <si>
    <t>REVENDEUR</t>
  </si>
  <si>
    <t>S/S GRANDE CEINTURE</t>
  </si>
  <si>
    <t>RESEAU</t>
  </si>
  <si>
    <t>DRISSI EL MADANI (S/S SALAMA ERFOUD)</t>
  </si>
  <si>
    <t>S/S CENTRE COMMERCIAL MANAR D'OR</t>
  </si>
  <si>
    <t>S/S TAHAR SOUK</t>
  </si>
  <si>
    <t>JAK TRANSPORT</t>
  </si>
  <si>
    <t>INDUSTRIEL</t>
  </si>
  <si>
    <t>S/S AZROU</t>
  </si>
  <si>
    <t>AGASTAT</t>
  </si>
  <si>
    <t>S/S BOULEMANE</t>
  </si>
  <si>
    <t>S/S ERRCHIDIA CENTRE</t>
  </si>
  <si>
    <t>BLACK OIL</t>
  </si>
  <si>
    <t>SK POWER</t>
  </si>
  <si>
    <t>S/S AIT KHOJMANE RICH</t>
  </si>
  <si>
    <t>S/S SEBAA AYOUNE</t>
  </si>
  <si>
    <t>SOMALEV</t>
  </si>
  <si>
    <t>S/S DEBBEOUI NEGOCE</t>
  </si>
  <si>
    <t>CARBURANT DES NADOR</t>
  </si>
  <si>
    <t>S/S JORF EL MALHA</t>
  </si>
  <si>
    <t>YADEN ALI ( S/S RISSANI )</t>
  </si>
  <si>
    <t xml:space="preserve">AR PETROLE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</si>
</sst>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0.0000"/>
    <numFmt numFmtId="166" formatCode="_-* #,##0_-;\-* #,##0_-;_-* &quot;-&quot;??_-;_-@_-"/>
    <numFmt numFmtId="167" formatCode="_-* #,##0.00\ _€_-;\-* #,##0.00\ _€_-;_-* &quot;-&quot;??\ _€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">
    <xf numFmtId="0" fontId="0" fillId="0" borderId="0" xfId="0"/>
    <xf numFmtId="12" fontId="4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66" fontId="0" fillId="3" borderId="1" xfId="1" applyNumberFormat="1" applyFont="1" applyFill="1" applyBorder="1" applyAlignment="1">
      <alignment vertical="center"/>
    </xf>
    <xf numFmtId="166" fontId="0" fillId="3" borderId="2" xfId="1" applyNumberFormat="1" applyFont="1" applyFill="1" applyBorder="1" applyAlignment="1">
      <alignment vertical="center"/>
    </xf>
    <xf numFmtId="164" fontId="0" fillId="3" borderId="1" xfId="1" applyFont="1" applyFill="1" applyBorder="1"/>
    <xf numFmtId="164" fontId="0" fillId="3" borderId="1" xfId="0" applyNumberFormat="1" applyFill="1" applyBorder="1"/>
    <xf numFmtId="164" fontId="2" fillId="3" borderId="1" xfId="1" applyFont="1" applyFill="1" applyBorder="1"/>
    <xf numFmtId="167" fontId="0" fillId="3" borderId="1" xfId="0" applyNumberFormat="1" applyFill="1" applyBorder="1"/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5" fillId="3" borderId="1" xfId="1" applyFont="1" applyFill="1" applyBorder="1"/>
    <xf numFmtId="14" fontId="0" fillId="3" borderId="2" xfId="0" applyNumberFormat="1" applyFill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64" fontId="0" fillId="3" borderId="2" xfId="1" applyFont="1" applyFill="1" applyBorder="1"/>
    <xf numFmtId="164" fontId="0" fillId="3" borderId="2" xfId="0" applyNumberFormat="1" applyFill="1" applyBorder="1"/>
    <xf numFmtId="164" fontId="5" fillId="3" borderId="2" xfId="1" applyFont="1" applyFill="1" applyBorder="1"/>
    <xf numFmtId="167" fontId="0" fillId="3" borderId="2" xfId="0" applyNumberFormat="1" applyFill="1" applyBorder="1"/>
    <xf numFmtId="0" fontId="3" fillId="2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9AAD1-9DF6-4570-B91B-B2B7C3B2788D}">
  <dimension ref="A1:M128"/>
  <sheetViews>
    <sheetView tabSelected="1" zoomScaleNormal="100" workbookViewId="0">
      <selection activeCell="D7" sqref="D7"/>
    </sheetView>
  </sheetViews>
  <sheetFormatPr defaultColWidth="11.5546875" defaultRowHeight="14.4" x14ac:dyDescent="0.3"/>
  <cols>
    <col min="1" max="1" width="17.33203125" customWidth="1"/>
    <col min="2" max="3" width="11.44140625" customWidth="1"/>
    <col min="4" max="4" width="43.33203125" customWidth="1"/>
    <col min="7" max="7" width="13" customWidth="1"/>
    <col min="11" max="11" width="18.44140625" customWidth="1"/>
  </cols>
  <sheetData>
    <row r="1" spans="1:13" ht="62.4" customHeight="1" x14ac:dyDescent="0.3">
      <c r="A1" s="2" t="s">
        <v>0</v>
      </c>
      <c r="B1" s="2" t="s">
        <v>1</v>
      </c>
      <c r="C1" s="2" t="s">
        <v>2</v>
      </c>
      <c r="D1" s="2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15">
        <v>45964</v>
      </c>
      <c r="B2" s="16">
        <v>8.0449999999999999</v>
      </c>
      <c r="C2" s="16">
        <v>9.56</v>
      </c>
      <c r="D2" s="17" t="s">
        <v>18</v>
      </c>
      <c r="E2" s="6">
        <v>29000</v>
      </c>
      <c r="F2" s="6">
        <v>5000</v>
      </c>
      <c r="G2" s="18">
        <f>K2-L2</f>
        <v>29613.181818181765</v>
      </c>
      <c r="H2" s="19">
        <v>9.76</v>
      </c>
      <c r="I2" s="19">
        <v>11.75</v>
      </c>
      <c r="J2" s="20">
        <f t="shared" ref="J2:J19" si="0">(E2*H2)+(F2*I2)</f>
        <v>341790</v>
      </c>
      <c r="K2" s="21">
        <f t="shared" ref="K2:K29" si="1">J2/1.1</f>
        <v>310718.18181818177</v>
      </c>
      <c r="L2" s="18">
        <f t="shared" ref="L2:L33" si="2">(B2*E2)+(F2*C2)</f>
        <v>281105</v>
      </c>
      <c r="M2" t="s">
        <v>15</v>
      </c>
    </row>
    <row r="3" spans="1:13" x14ac:dyDescent="0.3">
      <c r="A3" s="11">
        <v>45966</v>
      </c>
      <c r="B3" s="13">
        <v>8</v>
      </c>
      <c r="C3" s="13">
        <v>9.56</v>
      </c>
      <c r="D3" s="4" t="s">
        <v>19</v>
      </c>
      <c r="E3" s="5">
        <v>19000</v>
      </c>
      <c r="F3" s="6"/>
      <c r="G3" s="7">
        <f t="shared" ref="G3:G66" si="3">K3-L3</f>
        <v>18136.363636363618</v>
      </c>
      <c r="H3" s="8">
        <v>9.85</v>
      </c>
      <c r="I3" s="8"/>
      <c r="J3" s="14">
        <f t="shared" si="0"/>
        <v>187150</v>
      </c>
      <c r="K3" s="10">
        <f t="shared" si="1"/>
        <v>170136.36363636362</v>
      </c>
      <c r="L3" s="7">
        <f t="shared" si="2"/>
        <v>152000</v>
      </c>
      <c r="M3" t="s">
        <v>20</v>
      </c>
    </row>
    <row r="4" spans="1:13" x14ac:dyDescent="0.3">
      <c r="A4" s="11">
        <v>45966</v>
      </c>
      <c r="B4" s="13">
        <v>8</v>
      </c>
      <c r="C4" s="13">
        <v>9.56</v>
      </c>
      <c r="D4" s="4" t="s">
        <v>14</v>
      </c>
      <c r="E4" s="5">
        <v>10000</v>
      </c>
      <c r="F4" s="6">
        <v>5000</v>
      </c>
      <c r="G4" s="7">
        <f t="shared" si="3"/>
        <v>26700</v>
      </c>
      <c r="H4" s="8">
        <v>10.61</v>
      </c>
      <c r="I4" s="8">
        <v>12.77</v>
      </c>
      <c r="J4" s="14">
        <f t="shared" si="0"/>
        <v>169950</v>
      </c>
      <c r="K4" s="10">
        <f t="shared" si="1"/>
        <v>154500</v>
      </c>
      <c r="L4" s="7">
        <f t="shared" si="2"/>
        <v>127800</v>
      </c>
      <c r="M4" t="s">
        <v>15</v>
      </c>
    </row>
    <row r="5" spans="1:13" x14ac:dyDescent="0.3">
      <c r="A5" s="11">
        <v>45967</v>
      </c>
      <c r="B5" s="13">
        <v>8</v>
      </c>
      <c r="C5" s="13">
        <v>9.56</v>
      </c>
      <c r="D5" s="4" t="s">
        <v>26</v>
      </c>
      <c r="E5" s="5">
        <v>33000</v>
      </c>
      <c r="F5" s="6"/>
      <c r="G5" s="7">
        <f t="shared" si="3"/>
        <v>1200</v>
      </c>
      <c r="H5" s="8">
        <v>8.84</v>
      </c>
      <c r="I5" s="8"/>
      <c r="J5" s="14">
        <f>(E5*H5)+(F5*I5)</f>
        <v>291720</v>
      </c>
      <c r="K5" s="10">
        <f t="shared" si="1"/>
        <v>265200</v>
      </c>
      <c r="L5" s="7">
        <f t="shared" si="2"/>
        <v>264000</v>
      </c>
      <c r="M5" t="s">
        <v>13</v>
      </c>
    </row>
    <row r="6" spans="1:13" x14ac:dyDescent="0.3">
      <c r="A6" s="11">
        <v>45967</v>
      </c>
      <c r="B6" s="13">
        <v>8</v>
      </c>
      <c r="C6" s="13">
        <v>9.56</v>
      </c>
      <c r="D6" s="4" t="s">
        <v>26</v>
      </c>
      <c r="E6" s="5">
        <v>10000</v>
      </c>
      <c r="F6" s="6"/>
      <c r="G6" s="7">
        <f t="shared" si="3"/>
        <v>363.63636363635305</v>
      </c>
      <c r="H6" s="8">
        <v>8.84</v>
      </c>
      <c r="I6" s="8"/>
      <c r="J6" s="14">
        <f>(E6*H6)+(F6*I6)</f>
        <v>88400</v>
      </c>
      <c r="K6" s="10">
        <f t="shared" si="1"/>
        <v>80363.636363636353</v>
      </c>
      <c r="L6" s="7">
        <f t="shared" si="2"/>
        <v>80000</v>
      </c>
      <c r="M6" t="s">
        <v>13</v>
      </c>
    </row>
    <row r="7" spans="1:13" x14ac:dyDescent="0.3">
      <c r="A7" s="11">
        <v>45968</v>
      </c>
      <c r="B7" s="13">
        <v>8</v>
      </c>
      <c r="C7" s="13">
        <v>9.56</v>
      </c>
      <c r="D7" s="4" t="s">
        <v>16</v>
      </c>
      <c r="E7" s="5">
        <v>28000</v>
      </c>
      <c r="F7" s="6">
        <v>6000</v>
      </c>
      <c r="G7" s="7">
        <f t="shared" si="3"/>
        <v>42785.45454545453</v>
      </c>
      <c r="H7" s="8">
        <v>10.15</v>
      </c>
      <c r="I7" s="8">
        <v>12.06</v>
      </c>
      <c r="J7" s="14">
        <f t="shared" si="0"/>
        <v>356560</v>
      </c>
      <c r="K7" s="10">
        <f>J7/1.1</f>
        <v>324145.45454545453</v>
      </c>
      <c r="L7" s="7">
        <f t="shared" si="2"/>
        <v>281360</v>
      </c>
      <c r="M7" t="s">
        <v>15</v>
      </c>
    </row>
    <row r="8" spans="1:13" x14ac:dyDescent="0.3">
      <c r="A8" s="11">
        <v>45969</v>
      </c>
      <c r="B8" s="13">
        <v>8</v>
      </c>
      <c r="C8" s="13">
        <v>9.56</v>
      </c>
      <c r="D8" s="4" t="s">
        <v>32</v>
      </c>
      <c r="E8" s="5">
        <v>33000</v>
      </c>
      <c r="F8" s="6"/>
      <c r="G8" s="7">
        <f t="shared" si="3"/>
        <v>25200</v>
      </c>
      <c r="H8" s="8">
        <v>9.64</v>
      </c>
      <c r="I8" s="8"/>
      <c r="J8" s="14">
        <f t="shared" si="0"/>
        <v>318120</v>
      </c>
      <c r="K8" s="10">
        <f t="shared" si="1"/>
        <v>289200</v>
      </c>
      <c r="L8" s="7">
        <f t="shared" si="2"/>
        <v>264000</v>
      </c>
      <c r="M8" t="s">
        <v>15</v>
      </c>
    </row>
    <row r="9" spans="1:13" x14ac:dyDescent="0.3">
      <c r="A9" s="11">
        <v>45971</v>
      </c>
      <c r="B9" s="13">
        <v>8</v>
      </c>
      <c r="C9" s="13">
        <v>9.56</v>
      </c>
      <c r="D9" s="4" t="s">
        <v>26</v>
      </c>
      <c r="E9" s="5">
        <v>17000</v>
      </c>
      <c r="F9" s="6"/>
      <c r="G9" s="7">
        <f t="shared" si="3"/>
        <v>618.18181818179437</v>
      </c>
      <c r="H9" s="8">
        <v>8.84</v>
      </c>
      <c r="I9" s="8">
        <v>10.62</v>
      </c>
      <c r="J9" s="14">
        <f t="shared" si="0"/>
        <v>150280</v>
      </c>
      <c r="K9" s="10">
        <f t="shared" si="1"/>
        <v>136618.18181818179</v>
      </c>
      <c r="L9" s="7">
        <f t="shared" si="2"/>
        <v>136000</v>
      </c>
      <c r="M9" t="s">
        <v>13</v>
      </c>
    </row>
    <row r="10" spans="1:13" x14ac:dyDescent="0.3">
      <c r="A10" s="11">
        <v>45971</v>
      </c>
      <c r="B10" s="13">
        <v>8</v>
      </c>
      <c r="C10" s="13">
        <v>9.56</v>
      </c>
      <c r="D10" s="4" t="s">
        <v>26</v>
      </c>
      <c r="E10" s="5">
        <v>33000</v>
      </c>
      <c r="F10" s="6"/>
      <c r="G10" s="7">
        <f t="shared" si="3"/>
        <v>1200</v>
      </c>
      <c r="H10" s="8">
        <v>8.84</v>
      </c>
      <c r="I10" s="8">
        <v>10.62</v>
      </c>
      <c r="J10" s="14">
        <f t="shared" si="0"/>
        <v>291720</v>
      </c>
      <c r="K10" s="10">
        <f t="shared" si="1"/>
        <v>265200</v>
      </c>
      <c r="L10" s="7">
        <f t="shared" si="2"/>
        <v>264000</v>
      </c>
      <c r="M10" t="s">
        <v>13</v>
      </c>
    </row>
    <row r="11" spans="1:13" x14ac:dyDescent="0.3">
      <c r="A11" s="11">
        <v>45971</v>
      </c>
      <c r="B11" s="13">
        <v>8</v>
      </c>
      <c r="C11" s="13">
        <v>9.56</v>
      </c>
      <c r="D11" s="4" t="s">
        <v>26</v>
      </c>
      <c r="E11" s="5">
        <v>30000</v>
      </c>
      <c r="F11" s="6">
        <v>3000</v>
      </c>
      <c r="G11" s="7">
        <f t="shared" si="3"/>
        <v>1374.5454545454122</v>
      </c>
      <c r="H11" s="8">
        <v>8.84</v>
      </c>
      <c r="I11" s="8">
        <v>10.62</v>
      </c>
      <c r="J11" s="14">
        <f t="shared" si="0"/>
        <v>297060</v>
      </c>
      <c r="K11" s="10">
        <f t="shared" si="1"/>
        <v>270054.54545454541</v>
      </c>
      <c r="L11" s="7">
        <f t="shared" si="2"/>
        <v>268680</v>
      </c>
      <c r="M11" t="s">
        <v>13</v>
      </c>
    </row>
    <row r="12" spans="1:13" x14ac:dyDescent="0.3">
      <c r="A12" s="11">
        <v>45971</v>
      </c>
      <c r="B12" s="13">
        <v>8.0449999999999999</v>
      </c>
      <c r="C12" s="13">
        <v>9.4904899999999994</v>
      </c>
      <c r="D12" s="4" t="s">
        <v>14</v>
      </c>
      <c r="E12" s="5">
        <v>30000</v>
      </c>
      <c r="F12" s="6">
        <v>4000</v>
      </c>
      <c r="G12" s="7">
        <f t="shared" si="3"/>
        <v>56488.039999999979</v>
      </c>
      <c r="H12" s="8">
        <v>10.61</v>
      </c>
      <c r="I12" s="8">
        <v>12.77</v>
      </c>
      <c r="J12" s="14">
        <f t="shared" si="0"/>
        <v>369380</v>
      </c>
      <c r="K12" s="10">
        <f t="shared" si="1"/>
        <v>335800</v>
      </c>
      <c r="L12" s="7">
        <f t="shared" si="2"/>
        <v>279311.96000000002</v>
      </c>
      <c r="M12" t="s">
        <v>15</v>
      </c>
    </row>
    <row r="13" spans="1:13" x14ac:dyDescent="0.3">
      <c r="A13" s="11">
        <v>45971</v>
      </c>
      <c r="B13" s="13">
        <v>8.0449999999999999</v>
      </c>
      <c r="C13" s="13">
        <v>9.4904899999999994</v>
      </c>
      <c r="D13" s="4" t="s">
        <v>26</v>
      </c>
      <c r="E13" s="5">
        <v>28000</v>
      </c>
      <c r="F13" s="6">
        <v>5000</v>
      </c>
      <c r="G13" s="7">
        <f t="shared" si="3"/>
        <v>578.45909090904752</v>
      </c>
      <c r="H13" s="8">
        <v>8.84</v>
      </c>
      <c r="I13" s="8">
        <v>10.62</v>
      </c>
      <c r="J13" s="14">
        <f t="shared" si="0"/>
        <v>300620</v>
      </c>
      <c r="K13" s="10">
        <f t="shared" si="1"/>
        <v>273290.90909090906</v>
      </c>
      <c r="L13" s="7">
        <f t="shared" si="2"/>
        <v>272712.45</v>
      </c>
      <c r="M13" t="s">
        <v>13</v>
      </c>
    </row>
    <row r="14" spans="1:13" x14ac:dyDescent="0.3">
      <c r="A14" s="11">
        <v>45971</v>
      </c>
      <c r="B14" s="13">
        <v>8.0449999999999999</v>
      </c>
      <c r="C14" s="13">
        <v>9.4904899999999994</v>
      </c>
      <c r="D14" s="4" t="s">
        <v>31</v>
      </c>
      <c r="E14" s="5">
        <v>20000</v>
      </c>
      <c r="F14" s="6">
        <v>11000</v>
      </c>
      <c r="G14" s="7">
        <f t="shared" si="3"/>
        <v>2540.9736363635748</v>
      </c>
      <c r="H14" s="8">
        <v>8.89</v>
      </c>
      <c r="I14" s="8">
        <v>10.62</v>
      </c>
      <c r="J14" s="14">
        <f t="shared" si="0"/>
        <v>294620</v>
      </c>
      <c r="K14" s="10">
        <f t="shared" si="1"/>
        <v>267836.36363636359</v>
      </c>
      <c r="L14" s="7">
        <f t="shared" si="2"/>
        <v>265295.39</v>
      </c>
      <c r="M14" t="s">
        <v>13</v>
      </c>
    </row>
    <row r="15" spans="1:13" x14ac:dyDescent="0.3">
      <c r="A15" s="11">
        <v>45972</v>
      </c>
      <c r="B15" s="13">
        <v>8</v>
      </c>
      <c r="C15" s="13">
        <v>9.56</v>
      </c>
      <c r="D15" s="4" t="s">
        <v>26</v>
      </c>
      <c r="E15" s="5">
        <v>33000</v>
      </c>
      <c r="F15" s="6"/>
      <c r="G15" s="7">
        <f t="shared" si="3"/>
        <v>1200</v>
      </c>
      <c r="H15" s="8">
        <v>8.84</v>
      </c>
      <c r="I15" s="8">
        <v>10.62</v>
      </c>
      <c r="J15" s="14">
        <f t="shared" si="0"/>
        <v>291720</v>
      </c>
      <c r="K15" s="10">
        <f t="shared" si="1"/>
        <v>265200</v>
      </c>
      <c r="L15" s="7">
        <f t="shared" si="2"/>
        <v>264000</v>
      </c>
      <c r="M15" t="s">
        <v>13</v>
      </c>
    </row>
    <row r="16" spans="1:13" x14ac:dyDescent="0.3">
      <c r="A16" s="11">
        <v>45972</v>
      </c>
      <c r="B16" s="13">
        <v>8</v>
      </c>
      <c r="C16" s="13">
        <v>9.56</v>
      </c>
      <c r="D16" s="4" t="s">
        <v>26</v>
      </c>
      <c r="E16" s="5">
        <v>26000</v>
      </c>
      <c r="F16" s="6">
        <v>7000</v>
      </c>
      <c r="G16" s="7">
        <f t="shared" si="3"/>
        <v>1607.2727272727061</v>
      </c>
      <c r="H16" s="8">
        <v>8.84</v>
      </c>
      <c r="I16" s="8">
        <v>10.62</v>
      </c>
      <c r="J16" s="14">
        <f t="shared" si="0"/>
        <v>304180</v>
      </c>
      <c r="K16" s="10">
        <f t="shared" si="1"/>
        <v>276527.27272727271</v>
      </c>
      <c r="L16" s="7">
        <f t="shared" si="2"/>
        <v>274920</v>
      </c>
      <c r="M16" t="s">
        <v>13</v>
      </c>
    </row>
    <row r="17" spans="1:13" x14ac:dyDescent="0.3">
      <c r="A17" s="11">
        <v>45972</v>
      </c>
      <c r="B17" s="13">
        <v>8</v>
      </c>
      <c r="C17" s="13">
        <v>9.56</v>
      </c>
      <c r="D17" s="4" t="s">
        <v>26</v>
      </c>
      <c r="E17" s="5">
        <v>33000</v>
      </c>
      <c r="F17" s="6"/>
      <c r="G17" s="7">
        <f t="shared" si="3"/>
        <v>1200</v>
      </c>
      <c r="H17" s="8">
        <v>8.84</v>
      </c>
      <c r="I17" s="8">
        <v>10.62</v>
      </c>
      <c r="J17" s="14">
        <f t="shared" si="0"/>
        <v>291720</v>
      </c>
      <c r="K17" s="10">
        <f t="shared" si="1"/>
        <v>265200</v>
      </c>
      <c r="L17" s="7">
        <f t="shared" si="2"/>
        <v>264000</v>
      </c>
      <c r="M17" t="s">
        <v>13</v>
      </c>
    </row>
    <row r="18" spans="1:13" x14ac:dyDescent="0.3">
      <c r="A18" s="11">
        <v>45972</v>
      </c>
      <c r="B18" s="13">
        <v>8.0449999999999999</v>
      </c>
      <c r="C18" s="13">
        <v>9.4904899999999994</v>
      </c>
      <c r="D18" s="4" t="s">
        <v>25</v>
      </c>
      <c r="E18" s="5">
        <v>33000</v>
      </c>
      <c r="F18" s="6"/>
      <c r="G18" s="7">
        <f t="shared" si="3"/>
        <v>-285</v>
      </c>
      <c r="H18" s="8">
        <v>8.84</v>
      </c>
      <c r="I18" s="8">
        <v>10.62</v>
      </c>
      <c r="J18" s="14">
        <f t="shared" si="0"/>
        <v>291720</v>
      </c>
      <c r="K18" s="10">
        <f t="shared" si="1"/>
        <v>265200</v>
      </c>
      <c r="L18" s="7">
        <f t="shared" si="2"/>
        <v>265485</v>
      </c>
      <c r="M18" t="s">
        <v>13</v>
      </c>
    </row>
    <row r="19" spans="1:13" x14ac:dyDescent="0.3">
      <c r="A19" s="11">
        <v>45972</v>
      </c>
      <c r="B19" s="13">
        <v>8.0449999999999999</v>
      </c>
      <c r="C19" s="13">
        <v>9.4904899999999994</v>
      </c>
      <c r="D19" s="4" t="s">
        <v>25</v>
      </c>
      <c r="E19" s="5">
        <v>30000</v>
      </c>
      <c r="F19" s="6">
        <v>3000</v>
      </c>
      <c r="G19" s="7">
        <f t="shared" si="3"/>
        <v>233.07545454544015</v>
      </c>
      <c r="H19" s="8">
        <v>8.84</v>
      </c>
      <c r="I19" s="8">
        <v>10.62</v>
      </c>
      <c r="J19" s="14">
        <f t="shared" si="0"/>
        <v>297060</v>
      </c>
      <c r="K19" s="10">
        <f t="shared" si="1"/>
        <v>270054.54545454541</v>
      </c>
      <c r="L19" s="7">
        <f t="shared" si="2"/>
        <v>269821.46999999997</v>
      </c>
      <c r="M19" t="s">
        <v>13</v>
      </c>
    </row>
    <row r="20" spans="1:13" x14ac:dyDescent="0.3">
      <c r="A20" s="11">
        <v>45972</v>
      </c>
      <c r="B20" s="13">
        <v>8.0449999999999999</v>
      </c>
      <c r="C20" s="13">
        <v>9.4904899999999994</v>
      </c>
      <c r="D20" s="4" t="s">
        <v>25</v>
      </c>
      <c r="E20" s="5">
        <v>31000</v>
      </c>
      <c r="F20" s="6">
        <v>0</v>
      </c>
      <c r="G20" s="7">
        <f t="shared" si="3"/>
        <v>-267.72727272729389</v>
      </c>
      <c r="H20" s="8">
        <v>8.84</v>
      </c>
      <c r="I20" s="8">
        <v>10.62</v>
      </c>
      <c r="J20" s="14">
        <f t="shared" ref="J20:J83" si="4">(E20*H20)+(F20*I20)</f>
        <v>274040</v>
      </c>
      <c r="K20" s="10">
        <f t="shared" si="1"/>
        <v>249127.27272727271</v>
      </c>
      <c r="L20" s="7">
        <f t="shared" si="2"/>
        <v>249395</v>
      </c>
      <c r="M20" t="s">
        <v>13</v>
      </c>
    </row>
    <row r="21" spans="1:13" x14ac:dyDescent="0.3">
      <c r="A21" s="11">
        <v>45972</v>
      </c>
      <c r="B21" s="13">
        <v>8.0449999999999999</v>
      </c>
      <c r="C21" s="13">
        <v>9.4904899999999994</v>
      </c>
      <c r="D21" s="4" t="s">
        <v>26</v>
      </c>
      <c r="E21" s="5">
        <v>20000</v>
      </c>
      <c r="F21" s="6">
        <v>13000</v>
      </c>
      <c r="G21" s="7">
        <f t="shared" si="3"/>
        <v>1959.9936363635934</v>
      </c>
      <c r="H21" s="8">
        <v>8.84</v>
      </c>
      <c r="I21" s="8">
        <v>10.62</v>
      </c>
      <c r="J21" s="14">
        <f t="shared" si="4"/>
        <v>314860</v>
      </c>
      <c r="K21" s="10">
        <f t="shared" si="1"/>
        <v>286236.36363636359</v>
      </c>
      <c r="L21" s="7">
        <f t="shared" si="2"/>
        <v>284276.37</v>
      </c>
      <c r="M21" t="s">
        <v>13</v>
      </c>
    </row>
    <row r="22" spans="1:13" x14ac:dyDescent="0.3">
      <c r="A22" s="11">
        <v>45973</v>
      </c>
      <c r="B22" s="13">
        <v>8</v>
      </c>
      <c r="C22" s="13">
        <v>9.56</v>
      </c>
      <c r="D22" s="4" t="s">
        <v>30</v>
      </c>
      <c r="E22" s="5">
        <v>30000</v>
      </c>
      <c r="F22" s="6">
        <v>4000</v>
      </c>
      <c r="G22" s="7">
        <f t="shared" si="3"/>
        <v>40123.636363636353</v>
      </c>
      <c r="H22" s="8">
        <v>10.039999999999999</v>
      </c>
      <c r="I22" s="8">
        <v>12.25</v>
      </c>
      <c r="J22" s="14">
        <f t="shared" si="4"/>
        <v>350200</v>
      </c>
      <c r="K22" s="10">
        <f t="shared" si="1"/>
        <v>318363.63636363635</v>
      </c>
      <c r="L22" s="7">
        <f t="shared" si="2"/>
        <v>278240</v>
      </c>
      <c r="M22" t="s">
        <v>15</v>
      </c>
    </row>
    <row r="23" spans="1:13" x14ac:dyDescent="0.3">
      <c r="A23" s="11">
        <v>45973</v>
      </c>
      <c r="B23" s="13">
        <v>8</v>
      </c>
      <c r="C23" s="13">
        <v>9.56</v>
      </c>
      <c r="D23" s="4" t="s">
        <v>26</v>
      </c>
      <c r="E23" s="5">
        <v>28000</v>
      </c>
      <c r="F23" s="6">
        <v>5000</v>
      </c>
      <c r="G23" s="7">
        <f t="shared" si="3"/>
        <v>1490.9090909090592</v>
      </c>
      <c r="H23" s="8">
        <v>8.84</v>
      </c>
      <c r="I23" s="8">
        <v>10.62</v>
      </c>
      <c r="J23" s="14">
        <f t="shared" si="4"/>
        <v>300620</v>
      </c>
      <c r="K23" s="10">
        <f t="shared" si="1"/>
        <v>273290.90909090906</v>
      </c>
      <c r="L23" s="7">
        <f t="shared" si="2"/>
        <v>271800</v>
      </c>
      <c r="M23" t="s">
        <v>13</v>
      </c>
    </row>
    <row r="24" spans="1:13" x14ac:dyDescent="0.3">
      <c r="A24" s="11">
        <v>45973</v>
      </c>
      <c r="B24" s="13">
        <v>8</v>
      </c>
      <c r="C24" s="13">
        <v>9.56</v>
      </c>
      <c r="D24" s="4" t="s">
        <v>26</v>
      </c>
      <c r="E24" s="5">
        <v>33000</v>
      </c>
      <c r="F24" s="6"/>
      <c r="G24" s="7">
        <f t="shared" si="3"/>
        <v>1200</v>
      </c>
      <c r="H24" s="8">
        <v>8.84</v>
      </c>
      <c r="I24" s="8">
        <v>10.62</v>
      </c>
      <c r="J24" s="14">
        <f t="shared" si="4"/>
        <v>291720</v>
      </c>
      <c r="K24" s="10">
        <f t="shared" si="1"/>
        <v>265200</v>
      </c>
      <c r="L24" s="7">
        <f t="shared" si="2"/>
        <v>264000</v>
      </c>
      <c r="M24" t="s">
        <v>13</v>
      </c>
    </row>
    <row r="25" spans="1:13" x14ac:dyDescent="0.3">
      <c r="A25" s="11">
        <v>45973</v>
      </c>
      <c r="B25" s="13">
        <v>8.0449999999999999</v>
      </c>
      <c r="C25" s="13">
        <v>9.4904899999999994</v>
      </c>
      <c r="D25" s="4" t="s">
        <v>26</v>
      </c>
      <c r="E25" s="5">
        <v>17000</v>
      </c>
      <c r="F25" s="6"/>
      <c r="G25" s="7">
        <f t="shared" si="3"/>
        <v>-146.81818181820563</v>
      </c>
      <c r="H25" s="8">
        <v>8.84</v>
      </c>
      <c r="I25" s="8"/>
      <c r="J25" s="14">
        <f t="shared" si="4"/>
        <v>150280</v>
      </c>
      <c r="K25" s="10">
        <f t="shared" si="1"/>
        <v>136618.18181818179</v>
      </c>
      <c r="L25" s="7">
        <f t="shared" si="2"/>
        <v>136765</v>
      </c>
      <c r="M25" t="s">
        <v>13</v>
      </c>
    </row>
    <row r="26" spans="1:13" x14ac:dyDescent="0.3">
      <c r="A26" s="11">
        <v>45974</v>
      </c>
      <c r="B26" s="13">
        <v>8.1449999999999996</v>
      </c>
      <c r="C26" s="13">
        <v>9.4904899999999994</v>
      </c>
      <c r="D26" s="4" t="s">
        <v>24</v>
      </c>
      <c r="E26" s="5">
        <v>10000</v>
      </c>
      <c r="F26" s="6">
        <v>10000</v>
      </c>
      <c r="G26" s="7">
        <f t="shared" si="3"/>
        <v>26463.2818181818</v>
      </c>
      <c r="H26" s="8">
        <v>10.16</v>
      </c>
      <c r="I26" s="8">
        <v>12.15</v>
      </c>
      <c r="J26" s="14">
        <f t="shared" si="4"/>
        <v>223100</v>
      </c>
      <c r="K26" s="10">
        <f t="shared" si="1"/>
        <v>202818.18181818179</v>
      </c>
      <c r="L26" s="7">
        <f t="shared" si="2"/>
        <v>176354.9</v>
      </c>
      <c r="M26" t="s">
        <v>15</v>
      </c>
    </row>
    <row r="27" spans="1:13" x14ac:dyDescent="0.3">
      <c r="A27" s="11">
        <v>45974</v>
      </c>
      <c r="B27" s="13">
        <v>8.1449999999999996</v>
      </c>
      <c r="C27" s="13">
        <v>9.4904899999999994</v>
      </c>
      <c r="D27" s="4" t="s">
        <v>28</v>
      </c>
      <c r="E27" s="5">
        <v>13000</v>
      </c>
      <c r="F27" s="6"/>
      <c r="G27" s="7">
        <f t="shared" si="3"/>
        <v>12533.181818181809</v>
      </c>
      <c r="H27" s="8">
        <v>10.02</v>
      </c>
      <c r="I27" s="8">
        <v>12.01</v>
      </c>
      <c r="J27" s="14">
        <f t="shared" si="4"/>
        <v>130260</v>
      </c>
      <c r="K27" s="10">
        <f t="shared" si="1"/>
        <v>118418.18181818181</v>
      </c>
      <c r="L27" s="7">
        <f t="shared" si="2"/>
        <v>105885</v>
      </c>
      <c r="M27" t="s">
        <v>15</v>
      </c>
    </row>
    <row r="28" spans="1:13" x14ac:dyDescent="0.3">
      <c r="A28" s="11">
        <v>45974</v>
      </c>
      <c r="B28" s="13">
        <v>8.1449999999999996</v>
      </c>
      <c r="C28" s="13">
        <v>9.4904899999999994</v>
      </c>
      <c r="D28" s="4" t="s">
        <v>25</v>
      </c>
      <c r="E28" s="5">
        <v>23000</v>
      </c>
      <c r="F28" s="6">
        <v>10000</v>
      </c>
      <c r="G28" s="7">
        <f t="shared" si="3"/>
        <v>2696.4636363635655</v>
      </c>
      <c r="H28" s="8">
        <v>9.01</v>
      </c>
      <c r="I28" s="8">
        <v>10.62</v>
      </c>
      <c r="J28" s="14">
        <f t="shared" si="4"/>
        <v>313430</v>
      </c>
      <c r="K28" s="10">
        <f t="shared" si="1"/>
        <v>284936.36363636359</v>
      </c>
      <c r="L28" s="7">
        <f t="shared" si="2"/>
        <v>282239.90000000002</v>
      </c>
      <c r="M28" t="s">
        <v>13</v>
      </c>
    </row>
    <row r="29" spans="1:13" x14ac:dyDescent="0.3">
      <c r="A29" s="11">
        <v>45974</v>
      </c>
      <c r="B29" s="13">
        <v>8.1449999999999996</v>
      </c>
      <c r="C29" s="13">
        <v>9.4904899999999994</v>
      </c>
      <c r="D29" s="4" t="s">
        <v>25</v>
      </c>
      <c r="E29" s="5">
        <v>33000</v>
      </c>
      <c r="F29" s="6"/>
      <c r="G29" s="7">
        <f t="shared" si="3"/>
        <v>1515</v>
      </c>
      <c r="H29" s="8">
        <v>9.01</v>
      </c>
      <c r="I29" s="8">
        <v>10.62</v>
      </c>
      <c r="J29" s="14">
        <f t="shared" si="4"/>
        <v>297330</v>
      </c>
      <c r="K29" s="10">
        <f t="shared" si="1"/>
        <v>270300</v>
      </c>
      <c r="L29" s="7">
        <f t="shared" si="2"/>
        <v>268785</v>
      </c>
      <c r="M29" t="s">
        <v>13</v>
      </c>
    </row>
    <row r="30" spans="1:13" x14ac:dyDescent="0.3">
      <c r="A30" s="11">
        <v>45974</v>
      </c>
      <c r="B30" s="13">
        <v>8.1449999999999996</v>
      </c>
      <c r="C30" s="13">
        <v>9.4904899999999994</v>
      </c>
      <c r="D30" s="4" t="s">
        <v>25</v>
      </c>
      <c r="E30" s="5">
        <v>28000</v>
      </c>
      <c r="F30" s="6">
        <v>3000</v>
      </c>
      <c r="G30" s="7">
        <f t="shared" si="3"/>
        <v>1777.6209090908815</v>
      </c>
      <c r="H30" s="8">
        <v>9.01</v>
      </c>
      <c r="I30" s="8">
        <v>10.62</v>
      </c>
      <c r="J30" s="14">
        <f t="shared" si="4"/>
        <v>284140</v>
      </c>
      <c r="K30" s="10">
        <f t="shared" ref="K30:K93" si="5">J30/1.1</f>
        <v>258309.09090909088</v>
      </c>
      <c r="L30" s="7">
        <f t="shared" si="2"/>
        <v>256531.47</v>
      </c>
      <c r="M30" t="s">
        <v>13</v>
      </c>
    </row>
    <row r="31" spans="1:13" x14ac:dyDescent="0.3">
      <c r="A31" s="11">
        <v>45974</v>
      </c>
      <c r="B31" s="13">
        <v>8.1449999999999996</v>
      </c>
      <c r="C31" s="13">
        <v>9.4904899999999994</v>
      </c>
      <c r="D31" s="4" t="s">
        <v>25</v>
      </c>
      <c r="E31" s="5">
        <v>33000</v>
      </c>
      <c r="F31" s="6"/>
      <c r="G31" s="7">
        <f t="shared" si="3"/>
        <v>1515</v>
      </c>
      <c r="H31" s="8">
        <v>9.01</v>
      </c>
      <c r="I31" s="8">
        <v>10.62</v>
      </c>
      <c r="J31" s="14">
        <f t="shared" si="4"/>
        <v>297330</v>
      </c>
      <c r="K31" s="10">
        <f t="shared" si="5"/>
        <v>270300</v>
      </c>
      <c r="L31" s="7">
        <f t="shared" si="2"/>
        <v>268785</v>
      </c>
      <c r="M31" t="s">
        <v>13</v>
      </c>
    </row>
    <row r="32" spans="1:13" x14ac:dyDescent="0.3">
      <c r="A32" s="11">
        <v>45974</v>
      </c>
      <c r="B32" s="13">
        <v>8.1449999999999996</v>
      </c>
      <c r="C32" s="13">
        <v>9.4904899999999994</v>
      </c>
      <c r="D32" s="4" t="s">
        <v>26</v>
      </c>
      <c r="E32" s="5">
        <v>33000</v>
      </c>
      <c r="F32" s="6"/>
      <c r="G32" s="7">
        <f t="shared" si="3"/>
        <v>1515</v>
      </c>
      <c r="H32" s="8">
        <v>9.01</v>
      </c>
      <c r="I32" s="8">
        <v>10.62</v>
      </c>
      <c r="J32" s="14">
        <f t="shared" si="4"/>
        <v>297330</v>
      </c>
      <c r="K32" s="10">
        <f t="shared" si="5"/>
        <v>270300</v>
      </c>
      <c r="L32" s="7">
        <f t="shared" si="2"/>
        <v>268785</v>
      </c>
      <c r="M32" t="s">
        <v>13</v>
      </c>
    </row>
    <row r="33" spans="1:13" x14ac:dyDescent="0.3">
      <c r="A33" s="11">
        <v>45974</v>
      </c>
      <c r="B33" s="13">
        <v>8.1449999999999996</v>
      </c>
      <c r="C33" s="13">
        <v>9.4904899999999994</v>
      </c>
      <c r="D33" s="4" t="s">
        <v>26</v>
      </c>
      <c r="E33" s="5">
        <v>33000</v>
      </c>
      <c r="F33" s="6"/>
      <c r="G33" s="7">
        <f t="shared" si="3"/>
        <v>1515</v>
      </c>
      <c r="H33" s="8">
        <v>9.01</v>
      </c>
      <c r="I33" s="8">
        <v>10.62</v>
      </c>
      <c r="J33" s="14">
        <f t="shared" si="4"/>
        <v>297330</v>
      </c>
      <c r="K33" s="10">
        <f t="shared" si="5"/>
        <v>270300</v>
      </c>
      <c r="L33" s="7">
        <f t="shared" si="2"/>
        <v>268785</v>
      </c>
      <c r="M33" t="s">
        <v>13</v>
      </c>
    </row>
    <row r="34" spans="1:13" x14ac:dyDescent="0.3">
      <c r="A34" s="11">
        <v>45974</v>
      </c>
      <c r="B34" s="13">
        <v>8.1449999999999996</v>
      </c>
      <c r="C34" s="13">
        <v>9.4904899999999994</v>
      </c>
      <c r="D34" s="4" t="s">
        <v>25</v>
      </c>
      <c r="E34" s="5">
        <v>32000</v>
      </c>
      <c r="F34" s="6"/>
      <c r="G34" s="7">
        <f t="shared" si="3"/>
        <v>1469.0909090908826</v>
      </c>
      <c r="H34" s="8">
        <v>9.01</v>
      </c>
      <c r="I34" s="8">
        <v>10.62</v>
      </c>
      <c r="J34" s="14">
        <f t="shared" si="4"/>
        <v>288320</v>
      </c>
      <c r="K34" s="10">
        <f t="shared" si="5"/>
        <v>262109.09090909088</v>
      </c>
      <c r="L34" s="7">
        <f t="shared" ref="L34:L65" si="6">(B34*E34)+(F34*C34)</f>
        <v>260640</v>
      </c>
      <c r="M34" t="s">
        <v>13</v>
      </c>
    </row>
    <row r="35" spans="1:13" x14ac:dyDescent="0.3">
      <c r="A35" s="11">
        <v>45975</v>
      </c>
      <c r="B35" s="13">
        <v>8.1449999999999996</v>
      </c>
      <c r="C35" s="13">
        <v>9.4904899999999994</v>
      </c>
      <c r="D35" s="4" t="s">
        <v>18</v>
      </c>
      <c r="E35" s="5">
        <v>30000</v>
      </c>
      <c r="F35" s="6">
        <v>4000</v>
      </c>
      <c r="G35" s="7">
        <f t="shared" si="3"/>
        <v>26597.130909090862</v>
      </c>
      <c r="H35" s="8">
        <v>9.76</v>
      </c>
      <c r="I35" s="8">
        <v>11.75</v>
      </c>
      <c r="J35" s="14">
        <f t="shared" si="4"/>
        <v>339800</v>
      </c>
      <c r="K35" s="10">
        <f t="shared" si="5"/>
        <v>308909.09090909088</v>
      </c>
      <c r="L35" s="7">
        <f t="shared" si="6"/>
        <v>282311.96000000002</v>
      </c>
      <c r="M35" t="s">
        <v>15</v>
      </c>
    </row>
    <row r="36" spans="1:13" x14ac:dyDescent="0.3">
      <c r="A36" s="11">
        <v>45975</v>
      </c>
      <c r="B36" s="13">
        <v>8.1449999999999996</v>
      </c>
      <c r="C36" s="13">
        <v>9.4904899999999994</v>
      </c>
      <c r="D36" s="4" t="s">
        <v>17</v>
      </c>
      <c r="E36" s="5">
        <v>13000</v>
      </c>
      <c r="F36" s="6">
        <v>4000</v>
      </c>
      <c r="G36" s="7">
        <f t="shared" si="3"/>
        <v>17171.221818181803</v>
      </c>
      <c r="H36" s="8">
        <v>9.92</v>
      </c>
      <c r="I36" s="8">
        <v>12.04</v>
      </c>
      <c r="J36" s="14">
        <f t="shared" si="4"/>
        <v>177120</v>
      </c>
      <c r="K36" s="10">
        <f t="shared" si="5"/>
        <v>161018.18181818179</v>
      </c>
      <c r="L36" s="7">
        <f t="shared" si="6"/>
        <v>143846.96</v>
      </c>
      <c r="M36" t="s">
        <v>15</v>
      </c>
    </row>
    <row r="37" spans="1:13" x14ac:dyDescent="0.3">
      <c r="A37" s="11">
        <v>45975</v>
      </c>
      <c r="B37" s="13">
        <v>8.1449999999999996</v>
      </c>
      <c r="C37" s="13">
        <v>9.4904899999999994</v>
      </c>
      <c r="D37" s="4" t="s">
        <v>21</v>
      </c>
      <c r="E37" s="5">
        <v>27000</v>
      </c>
      <c r="F37" s="6">
        <v>6000</v>
      </c>
      <c r="G37" s="7">
        <f t="shared" si="3"/>
        <v>35032.969090909057</v>
      </c>
      <c r="H37" s="8">
        <v>10</v>
      </c>
      <c r="I37" s="8">
        <v>12.18</v>
      </c>
      <c r="J37" s="14">
        <f t="shared" si="4"/>
        <v>343080</v>
      </c>
      <c r="K37" s="10">
        <f t="shared" si="5"/>
        <v>311890.90909090906</v>
      </c>
      <c r="L37" s="7">
        <f t="shared" si="6"/>
        <v>276857.94</v>
      </c>
      <c r="M37" t="s">
        <v>15</v>
      </c>
    </row>
    <row r="38" spans="1:13" x14ac:dyDescent="0.3">
      <c r="A38" s="11">
        <v>45975</v>
      </c>
      <c r="B38" s="13">
        <v>8.1449999999999996</v>
      </c>
      <c r="C38" s="13">
        <v>9.4904899999999994</v>
      </c>
      <c r="D38" s="4" t="s">
        <v>25</v>
      </c>
      <c r="E38" s="5">
        <v>30000</v>
      </c>
      <c r="F38" s="6"/>
      <c r="G38" s="7">
        <f t="shared" si="3"/>
        <v>1377.2727272727061</v>
      </c>
      <c r="H38" s="8">
        <v>9.01</v>
      </c>
      <c r="I38" s="8">
        <v>10.62</v>
      </c>
      <c r="J38" s="14">
        <f t="shared" si="4"/>
        <v>270300</v>
      </c>
      <c r="K38" s="10">
        <f t="shared" si="5"/>
        <v>245727.27272727271</v>
      </c>
      <c r="L38" s="7">
        <f t="shared" si="6"/>
        <v>244350</v>
      </c>
      <c r="M38" t="s">
        <v>13</v>
      </c>
    </row>
    <row r="39" spans="1:13" x14ac:dyDescent="0.3">
      <c r="A39" s="11">
        <v>45975</v>
      </c>
      <c r="B39" s="13">
        <v>8.1449999999999996</v>
      </c>
      <c r="C39" s="13">
        <v>9.4904899999999994</v>
      </c>
      <c r="D39" s="4" t="s">
        <v>25</v>
      </c>
      <c r="E39" s="5">
        <v>31000</v>
      </c>
      <c r="F39" s="6"/>
      <c r="G39" s="7">
        <f t="shared" si="3"/>
        <v>1423.1818181817944</v>
      </c>
      <c r="H39" s="8">
        <v>9.01</v>
      </c>
      <c r="I39" s="8">
        <v>10.62</v>
      </c>
      <c r="J39" s="14">
        <f t="shared" si="4"/>
        <v>279310</v>
      </c>
      <c r="K39" s="10">
        <f t="shared" si="5"/>
        <v>253918.18181818179</v>
      </c>
      <c r="L39" s="7">
        <f t="shared" si="6"/>
        <v>252495</v>
      </c>
      <c r="M39" t="s">
        <v>13</v>
      </c>
    </row>
    <row r="40" spans="1:13" x14ac:dyDescent="0.3">
      <c r="A40" s="11">
        <v>45975</v>
      </c>
      <c r="B40" s="13">
        <v>8.1449999999999996</v>
      </c>
      <c r="C40" s="13">
        <v>9.4904899999999994</v>
      </c>
      <c r="D40" s="4" t="s">
        <v>25</v>
      </c>
      <c r="E40" s="5">
        <v>27000</v>
      </c>
      <c r="F40" s="6">
        <v>5000</v>
      </c>
      <c r="G40" s="7">
        <f t="shared" si="3"/>
        <v>2059.8227272726945</v>
      </c>
      <c r="H40" s="8">
        <v>9.01</v>
      </c>
      <c r="I40" s="8">
        <v>10.62</v>
      </c>
      <c r="J40" s="14">
        <f t="shared" si="4"/>
        <v>296370</v>
      </c>
      <c r="K40" s="10">
        <f t="shared" si="5"/>
        <v>269427.27272727271</v>
      </c>
      <c r="L40" s="7">
        <f t="shared" si="6"/>
        <v>267367.45</v>
      </c>
      <c r="M40" t="s">
        <v>13</v>
      </c>
    </row>
    <row r="41" spans="1:13" x14ac:dyDescent="0.3">
      <c r="A41" s="11">
        <v>45975</v>
      </c>
      <c r="B41" s="13">
        <v>8.1449999999999996</v>
      </c>
      <c r="C41" s="13">
        <v>9.4904899999999994</v>
      </c>
      <c r="D41" s="4" t="s">
        <v>25</v>
      </c>
      <c r="E41" s="5">
        <v>33000</v>
      </c>
      <c r="F41" s="6"/>
      <c r="G41" s="7">
        <f t="shared" si="3"/>
        <v>1515</v>
      </c>
      <c r="H41" s="8">
        <v>9.01</v>
      </c>
      <c r="I41" s="8">
        <v>10.62</v>
      </c>
      <c r="J41" s="14">
        <f t="shared" si="4"/>
        <v>297330</v>
      </c>
      <c r="K41" s="10">
        <f t="shared" si="5"/>
        <v>270300</v>
      </c>
      <c r="L41" s="7">
        <f t="shared" si="6"/>
        <v>268785</v>
      </c>
      <c r="M41" t="s">
        <v>13</v>
      </c>
    </row>
    <row r="42" spans="1:13" x14ac:dyDescent="0.3">
      <c r="A42" s="11">
        <v>45975</v>
      </c>
      <c r="B42" s="13">
        <v>8.1449999999999996</v>
      </c>
      <c r="C42" s="13">
        <v>9.4904899999999994</v>
      </c>
      <c r="D42" s="4" t="s">
        <v>25</v>
      </c>
      <c r="E42" s="5">
        <v>33000</v>
      </c>
      <c r="F42" s="6"/>
      <c r="G42" s="7">
        <f t="shared" si="3"/>
        <v>1515</v>
      </c>
      <c r="H42" s="8">
        <v>9.01</v>
      </c>
      <c r="I42" s="8">
        <v>10.62</v>
      </c>
      <c r="J42" s="14">
        <f t="shared" si="4"/>
        <v>297330</v>
      </c>
      <c r="K42" s="10">
        <f t="shared" si="5"/>
        <v>270300</v>
      </c>
      <c r="L42" s="7">
        <f t="shared" si="6"/>
        <v>268785</v>
      </c>
      <c r="M42" t="s">
        <v>13</v>
      </c>
    </row>
    <row r="43" spans="1:13" x14ac:dyDescent="0.3">
      <c r="A43" s="11">
        <v>45975</v>
      </c>
      <c r="B43" s="13">
        <v>8.1449999999999996</v>
      </c>
      <c r="C43" s="13">
        <v>9.4904899999999994</v>
      </c>
      <c r="D43" s="4" t="s">
        <v>25</v>
      </c>
      <c r="E43" s="5">
        <v>14000</v>
      </c>
      <c r="F43" s="6"/>
      <c r="G43" s="7">
        <f t="shared" si="3"/>
        <v>642.72727272726479</v>
      </c>
      <c r="H43" s="8">
        <v>9.01</v>
      </c>
      <c r="I43" s="8">
        <v>10.62</v>
      </c>
      <c r="J43" s="14">
        <f t="shared" si="4"/>
        <v>126140</v>
      </c>
      <c r="K43" s="10">
        <f t="shared" si="5"/>
        <v>114672.72727272726</v>
      </c>
      <c r="L43" s="7">
        <f t="shared" si="6"/>
        <v>114030</v>
      </c>
      <c r="M43" t="s">
        <v>13</v>
      </c>
    </row>
    <row r="44" spans="1:13" x14ac:dyDescent="0.3">
      <c r="A44" s="11">
        <v>45975</v>
      </c>
      <c r="B44" s="13">
        <v>8.1449999999999996</v>
      </c>
      <c r="C44" s="13">
        <v>9.4904899999999994</v>
      </c>
      <c r="D44" s="4" t="s">
        <v>32</v>
      </c>
      <c r="E44" s="5">
        <v>33000</v>
      </c>
      <c r="F44" s="6"/>
      <c r="G44" s="7">
        <f t="shared" si="3"/>
        <v>20415</v>
      </c>
      <c r="H44" s="8">
        <v>9.64</v>
      </c>
      <c r="I44" s="8"/>
      <c r="J44" s="14">
        <f t="shared" si="4"/>
        <v>318120</v>
      </c>
      <c r="K44" s="10">
        <f t="shared" si="5"/>
        <v>289200</v>
      </c>
      <c r="L44" s="7">
        <f t="shared" si="6"/>
        <v>268785</v>
      </c>
      <c r="M44" t="s">
        <v>15</v>
      </c>
    </row>
    <row r="45" spans="1:13" x14ac:dyDescent="0.3">
      <c r="A45" s="11">
        <v>45975</v>
      </c>
      <c r="B45" s="13">
        <v>8.1449999999999996</v>
      </c>
      <c r="C45" s="13">
        <v>9.4904899999999994</v>
      </c>
      <c r="D45" s="4" t="s">
        <v>26</v>
      </c>
      <c r="E45" s="5">
        <v>28000</v>
      </c>
      <c r="F45" s="6">
        <v>5000</v>
      </c>
      <c r="G45" s="7">
        <f t="shared" si="3"/>
        <v>2105.7318181818118</v>
      </c>
      <c r="H45" s="8">
        <v>9.01</v>
      </c>
      <c r="I45" s="8">
        <v>10.62</v>
      </c>
      <c r="J45" s="14">
        <f t="shared" si="4"/>
        <v>305380</v>
      </c>
      <c r="K45" s="10">
        <f t="shared" si="5"/>
        <v>277618.18181818182</v>
      </c>
      <c r="L45" s="7">
        <f t="shared" si="6"/>
        <v>275512.45</v>
      </c>
      <c r="M45" t="s">
        <v>13</v>
      </c>
    </row>
    <row r="46" spans="1:13" x14ac:dyDescent="0.3">
      <c r="A46" s="11">
        <v>45975</v>
      </c>
      <c r="B46" s="13">
        <v>8.1449999999999996</v>
      </c>
      <c r="C46" s="13">
        <v>9.4904899999999994</v>
      </c>
      <c r="D46" s="4" t="s">
        <v>26</v>
      </c>
      <c r="E46" s="5">
        <v>33000</v>
      </c>
      <c r="F46" s="6"/>
      <c r="G46" s="7">
        <f t="shared" si="3"/>
        <v>1515</v>
      </c>
      <c r="H46" s="8">
        <v>9.01</v>
      </c>
      <c r="I46" s="8">
        <v>10.62</v>
      </c>
      <c r="J46" s="14">
        <f t="shared" si="4"/>
        <v>297330</v>
      </c>
      <c r="K46" s="10">
        <f t="shared" si="5"/>
        <v>270300</v>
      </c>
      <c r="L46" s="7">
        <f t="shared" si="6"/>
        <v>268785</v>
      </c>
      <c r="M46" t="s">
        <v>13</v>
      </c>
    </row>
    <row r="47" spans="1:13" x14ac:dyDescent="0.3">
      <c r="A47" s="11">
        <v>45976</v>
      </c>
      <c r="B47" s="13">
        <v>8.1449999999999996</v>
      </c>
      <c r="C47" s="13">
        <v>9.4904899999999994</v>
      </c>
      <c r="D47" s="4" t="s">
        <v>26</v>
      </c>
      <c r="E47" s="5">
        <v>13000</v>
      </c>
      <c r="F47" s="6">
        <v>4000</v>
      </c>
      <c r="G47" s="7">
        <f t="shared" si="3"/>
        <v>1253.0400000000081</v>
      </c>
      <c r="H47" s="8">
        <v>9.01</v>
      </c>
      <c r="I47" s="8">
        <v>10.62</v>
      </c>
      <c r="J47" s="14">
        <f t="shared" si="4"/>
        <v>159610</v>
      </c>
      <c r="K47" s="10">
        <f t="shared" si="5"/>
        <v>145100</v>
      </c>
      <c r="L47" s="7">
        <f t="shared" si="6"/>
        <v>143846.96</v>
      </c>
      <c r="M47" t="s">
        <v>13</v>
      </c>
    </row>
    <row r="48" spans="1:13" x14ac:dyDescent="0.3">
      <c r="A48" s="11">
        <v>45976</v>
      </c>
      <c r="B48" s="13">
        <v>8.1449999999999996</v>
      </c>
      <c r="C48" s="13">
        <v>9.4904899999999994</v>
      </c>
      <c r="D48" s="4" t="s">
        <v>26</v>
      </c>
      <c r="E48" s="5">
        <v>33000</v>
      </c>
      <c r="F48" s="6"/>
      <c r="G48" s="7">
        <f t="shared" si="3"/>
        <v>1515</v>
      </c>
      <c r="H48" s="8">
        <v>9.01</v>
      </c>
      <c r="I48" s="8">
        <v>10.62</v>
      </c>
      <c r="J48" s="14">
        <f t="shared" si="4"/>
        <v>297330</v>
      </c>
      <c r="K48" s="10">
        <f t="shared" si="5"/>
        <v>270300</v>
      </c>
      <c r="L48" s="7">
        <f t="shared" si="6"/>
        <v>268785</v>
      </c>
      <c r="M48" t="s">
        <v>13</v>
      </c>
    </row>
    <row r="49" spans="1:13" x14ac:dyDescent="0.3">
      <c r="A49" s="11">
        <v>45976</v>
      </c>
      <c r="B49" s="13">
        <v>8.1449999999999996</v>
      </c>
      <c r="C49" s="13">
        <v>9.4904899999999994</v>
      </c>
      <c r="D49" s="4" t="s">
        <v>25</v>
      </c>
      <c r="E49" s="5">
        <v>32000</v>
      </c>
      <c r="F49" s="6"/>
      <c r="G49" s="7">
        <f t="shared" si="3"/>
        <v>1469.0909090908826</v>
      </c>
      <c r="H49" s="8">
        <v>9.01</v>
      </c>
      <c r="I49" s="8">
        <v>10.62</v>
      </c>
      <c r="J49" s="14">
        <f t="shared" si="4"/>
        <v>288320</v>
      </c>
      <c r="K49" s="10">
        <f t="shared" si="5"/>
        <v>262109.09090909088</v>
      </c>
      <c r="L49" s="7">
        <f t="shared" si="6"/>
        <v>260640</v>
      </c>
      <c r="M49" t="s">
        <v>13</v>
      </c>
    </row>
    <row r="50" spans="1:13" x14ac:dyDescent="0.3">
      <c r="A50" s="11">
        <v>45976</v>
      </c>
      <c r="B50" s="13">
        <v>8.1449999999999996</v>
      </c>
      <c r="C50" s="13">
        <v>9.4904899999999994</v>
      </c>
      <c r="D50" s="4" t="s">
        <v>25</v>
      </c>
      <c r="E50" s="5">
        <v>26000</v>
      </c>
      <c r="F50" s="6">
        <v>5000</v>
      </c>
      <c r="G50" s="7">
        <f t="shared" si="3"/>
        <v>2013.9136363636062</v>
      </c>
      <c r="H50" s="8">
        <v>9.01</v>
      </c>
      <c r="I50" s="8">
        <v>10.62</v>
      </c>
      <c r="J50" s="14">
        <f t="shared" si="4"/>
        <v>287360</v>
      </c>
      <c r="K50" s="10">
        <f t="shared" si="5"/>
        <v>261236.36363636362</v>
      </c>
      <c r="L50" s="7">
        <f t="shared" si="6"/>
        <v>259222.45</v>
      </c>
      <c r="M50" t="s">
        <v>13</v>
      </c>
    </row>
    <row r="51" spans="1:13" x14ac:dyDescent="0.3">
      <c r="A51" s="11">
        <v>45976</v>
      </c>
      <c r="B51" s="13">
        <v>8.1449999999999996</v>
      </c>
      <c r="C51" s="13">
        <v>9.4904899999999994</v>
      </c>
      <c r="D51" s="4" t="s">
        <v>25</v>
      </c>
      <c r="E51" s="5">
        <v>33000</v>
      </c>
      <c r="F51" s="6"/>
      <c r="G51" s="7">
        <f t="shared" si="3"/>
        <v>1515</v>
      </c>
      <c r="H51" s="8">
        <v>9.01</v>
      </c>
      <c r="I51" s="8">
        <v>10.62</v>
      </c>
      <c r="J51" s="14">
        <f t="shared" si="4"/>
        <v>297330</v>
      </c>
      <c r="K51" s="10">
        <f t="shared" si="5"/>
        <v>270300</v>
      </c>
      <c r="L51" s="7">
        <f t="shared" si="6"/>
        <v>268785</v>
      </c>
      <c r="M51" t="s">
        <v>13</v>
      </c>
    </row>
    <row r="52" spans="1:13" x14ac:dyDescent="0.3">
      <c r="A52" s="11">
        <v>45976</v>
      </c>
      <c r="B52" s="13">
        <v>8.1449999999999996</v>
      </c>
      <c r="C52" s="13">
        <v>9.4904899999999994</v>
      </c>
      <c r="D52" s="4" t="s">
        <v>26</v>
      </c>
      <c r="E52" s="5">
        <v>33000</v>
      </c>
      <c r="F52" s="6"/>
      <c r="G52" s="7">
        <f t="shared" si="3"/>
        <v>1515</v>
      </c>
      <c r="H52" s="8">
        <v>9.01</v>
      </c>
      <c r="I52" s="8">
        <v>10.62</v>
      </c>
      <c r="J52" s="14">
        <f t="shared" si="4"/>
        <v>297330</v>
      </c>
      <c r="K52" s="10">
        <f t="shared" si="5"/>
        <v>270300</v>
      </c>
      <c r="L52" s="7">
        <f t="shared" si="6"/>
        <v>268785</v>
      </c>
      <c r="M52" t="s">
        <v>13</v>
      </c>
    </row>
    <row r="53" spans="1:13" x14ac:dyDescent="0.3">
      <c r="A53" s="11">
        <v>45976</v>
      </c>
      <c r="B53" s="13">
        <v>8.1449999999999996</v>
      </c>
      <c r="C53" s="13">
        <v>9.4904899999999994</v>
      </c>
      <c r="D53" s="4" t="s">
        <v>26</v>
      </c>
      <c r="E53" s="5">
        <v>33000</v>
      </c>
      <c r="F53" s="6"/>
      <c r="G53" s="7">
        <f t="shared" si="3"/>
        <v>1515</v>
      </c>
      <c r="H53" s="8">
        <v>9.01</v>
      </c>
      <c r="I53" s="8">
        <v>10.62</v>
      </c>
      <c r="J53" s="14">
        <f t="shared" si="4"/>
        <v>297330</v>
      </c>
      <c r="K53" s="10">
        <f t="shared" si="5"/>
        <v>270300</v>
      </c>
      <c r="L53" s="7">
        <f t="shared" si="6"/>
        <v>268785</v>
      </c>
      <c r="M53" t="s">
        <v>13</v>
      </c>
    </row>
    <row r="54" spans="1:13" x14ac:dyDescent="0.3">
      <c r="A54" s="11">
        <v>45976</v>
      </c>
      <c r="B54" s="13">
        <v>8.1449999999999996</v>
      </c>
      <c r="C54" s="13">
        <v>9.4904899999999994</v>
      </c>
      <c r="D54" s="4" t="s">
        <v>25</v>
      </c>
      <c r="E54" s="5">
        <v>25000</v>
      </c>
      <c r="F54" s="6">
        <v>8000</v>
      </c>
      <c r="G54" s="7">
        <f t="shared" si="3"/>
        <v>2460.1709090908989</v>
      </c>
      <c r="H54" s="8">
        <v>9.01</v>
      </c>
      <c r="I54" s="8">
        <v>10.62</v>
      </c>
      <c r="J54" s="14">
        <f t="shared" si="4"/>
        <v>310210</v>
      </c>
      <c r="K54" s="10">
        <f t="shared" si="5"/>
        <v>282009.09090909088</v>
      </c>
      <c r="L54" s="7">
        <f t="shared" si="6"/>
        <v>279548.92</v>
      </c>
      <c r="M54" t="s">
        <v>13</v>
      </c>
    </row>
    <row r="55" spans="1:13" x14ac:dyDescent="0.3">
      <c r="A55" s="11">
        <v>45976</v>
      </c>
      <c r="B55" s="13">
        <v>8.1449999999999996</v>
      </c>
      <c r="C55" s="13">
        <v>9.4904899999999994</v>
      </c>
      <c r="D55" s="4" t="s">
        <v>26</v>
      </c>
      <c r="E55" s="5">
        <v>33000</v>
      </c>
      <c r="F55" s="6"/>
      <c r="G55" s="7">
        <f t="shared" si="3"/>
        <v>1515</v>
      </c>
      <c r="H55" s="8">
        <v>9.01</v>
      </c>
      <c r="I55" s="8">
        <v>10.62</v>
      </c>
      <c r="J55" s="14">
        <f t="shared" si="4"/>
        <v>297330</v>
      </c>
      <c r="K55" s="10">
        <f t="shared" si="5"/>
        <v>270300</v>
      </c>
      <c r="L55" s="7">
        <f t="shared" si="6"/>
        <v>268785</v>
      </c>
      <c r="M55" t="s">
        <v>13</v>
      </c>
    </row>
    <row r="56" spans="1:13" x14ac:dyDescent="0.3">
      <c r="A56" s="11">
        <v>45976</v>
      </c>
      <c r="B56" s="13">
        <v>8.1449999999999996</v>
      </c>
      <c r="C56" s="13">
        <v>9.4904899999999994</v>
      </c>
      <c r="D56" s="4" t="s">
        <v>26</v>
      </c>
      <c r="E56" s="5">
        <v>10000</v>
      </c>
      <c r="F56" s="6"/>
      <c r="G56" s="7"/>
      <c r="H56" s="8">
        <v>9.01</v>
      </c>
      <c r="I56" s="8"/>
      <c r="J56" s="14">
        <f t="shared" si="4"/>
        <v>90100</v>
      </c>
      <c r="K56" s="10">
        <f t="shared" si="5"/>
        <v>81909.090909090897</v>
      </c>
      <c r="L56" s="7">
        <f t="shared" si="6"/>
        <v>81450</v>
      </c>
      <c r="M56" t="s">
        <v>13</v>
      </c>
    </row>
    <row r="57" spans="1:13" x14ac:dyDescent="0.3">
      <c r="A57" s="11">
        <v>45980</v>
      </c>
      <c r="B57" s="13">
        <v>8.4540000000000006</v>
      </c>
      <c r="C57" s="13">
        <v>9.6818100000000005</v>
      </c>
      <c r="D57" s="4" t="s">
        <v>29</v>
      </c>
      <c r="E57" s="5">
        <v>15000</v>
      </c>
      <c r="F57" s="6"/>
      <c r="G57" s="7">
        <f t="shared" si="3"/>
        <v>17462.72727272725</v>
      </c>
      <c r="H57" s="8">
        <v>10.58</v>
      </c>
      <c r="I57" s="8">
        <v>0</v>
      </c>
      <c r="J57" s="14">
        <f t="shared" si="4"/>
        <v>158700</v>
      </c>
      <c r="K57" s="10">
        <f t="shared" si="5"/>
        <v>144272.72727272726</v>
      </c>
      <c r="L57" s="7">
        <f t="shared" si="6"/>
        <v>126810.00000000001</v>
      </c>
      <c r="M57" t="s">
        <v>20</v>
      </c>
    </row>
    <row r="58" spans="1:13" x14ac:dyDescent="0.3">
      <c r="A58" s="11">
        <v>45980</v>
      </c>
      <c r="B58" s="13">
        <v>8.4540000000000006</v>
      </c>
      <c r="C58" s="13">
        <v>9.6818100000000005</v>
      </c>
      <c r="D58" s="4" t="s">
        <v>19</v>
      </c>
      <c r="E58" s="5">
        <v>19000</v>
      </c>
      <c r="F58" s="6"/>
      <c r="G58" s="7">
        <f t="shared" si="3"/>
        <v>14173.999999999971</v>
      </c>
      <c r="H58" s="8">
        <v>10.119999999999999</v>
      </c>
      <c r="I58" s="8">
        <v>0</v>
      </c>
      <c r="J58" s="14">
        <f t="shared" si="4"/>
        <v>192279.99999999997</v>
      </c>
      <c r="K58" s="10">
        <f t="shared" si="5"/>
        <v>174799.99999999997</v>
      </c>
      <c r="L58" s="7">
        <f t="shared" si="6"/>
        <v>160626</v>
      </c>
      <c r="M58" t="s">
        <v>20</v>
      </c>
    </row>
    <row r="59" spans="1:13" x14ac:dyDescent="0.3">
      <c r="A59" s="11">
        <v>45980</v>
      </c>
      <c r="B59" s="13">
        <v>8.4540000000000006</v>
      </c>
      <c r="C59" s="13">
        <v>9.6818100000000005</v>
      </c>
      <c r="D59" s="4" t="s">
        <v>22</v>
      </c>
      <c r="E59" s="5">
        <v>10000</v>
      </c>
      <c r="F59" s="6">
        <v>7000</v>
      </c>
      <c r="G59" s="7">
        <f t="shared" si="3"/>
        <v>17214.602727272722</v>
      </c>
      <c r="H59" s="8">
        <v>10.220000000000001</v>
      </c>
      <c r="I59" s="8">
        <v>12.04</v>
      </c>
      <c r="J59" s="14">
        <f t="shared" si="4"/>
        <v>186480</v>
      </c>
      <c r="K59" s="10">
        <f t="shared" si="5"/>
        <v>169527.27272727271</v>
      </c>
      <c r="L59" s="7">
        <f t="shared" si="6"/>
        <v>152312.66999999998</v>
      </c>
      <c r="M59" t="s">
        <v>15</v>
      </c>
    </row>
    <row r="60" spans="1:13" x14ac:dyDescent="0.3">
      <c r="A60" s="11">
        <v>45980</v>
      </c>
      <c r="B60" s="13">
        <v>8.4540000000000006</v>
      </c>
      <c r="C60" s="13">
        <v>9.6818100000000005</v>
      </c>
      <c r="D60" s="4" t="s">
        <v>16</v>
      </c>
      <c r="E60" s="5">
        <v>29000</v>
      </c>
      <c r="F60" s="6">
        <v>4000</v>
      </c>
      <c r="G60" s="7">
        <f t="shared" si="3"/>
        <v>35752.214545454481</v>
      </c>
      <c r="H60" s="8">
        <v>10.45</v>
      </c>
      <c r="I60" s="8">
        <v>12.14</v>
      </c>
      <c r="J60" s="14">
        <f t="shared" si="4"/>
        <v>351610</v>
      </c>
      <c r="K60" s="10">
        <f t="shared" si="5"/>
        <v>319645.45454545453</v>
      </c>
      <c r="L60" s="7">
        <f t="shared" si="6"/>
        <v>283893.24000000005</v>
      </c>
      <c r="M60" t="s">
        <v>15</v>
      </c>
    </row>
    <row r="61" spans="1:13" x14ac:dyDescent="0.3">
      <c r="A61" s="11">
        <v>45981</v>
      </c>
      <c r="B61" s="13">
        <v>8.4</v>
      </c>
      <c r="C61" s="13">
        <v>9.923</v>
      </c>
      <c r="D61" s="4" t="s">
        <v>25</v>
      </c>
      <c r="E61" s="5">
        <v>33000</v>
      </c>
      <c r="F61" s="6"/>
      <c r="G61" s="7">
        <f t="shared" si="3"/>
        <v>1500</v>
      </c>
      <c r="H61" s="8">
        <v>9.2899999999999991</v>
      </c>
      <c r="I61" s="8">
        <v>0</v>
      </c>
      <c r="J61" s="14">
        <f t="shared" si="4"/>
        <v>306570</v>
      </c>
      <c r="K61" s="10">
        <f t="shared" si="5"/>
        <v>278700</v>
      </c>
      <c r="L61" s="7">
        <f t="shared" si="6"/>
        <v>277200</v>
      </c>
      <c r="M61" t="s">
        <v>13</v>
      </c>
    </row>
    <row r="62" spans="1:13" x14ac:dyDescent="0.3">
      <c r="A62" s="11">
        <v>45981</v>
      </c>
      <c r="B62" s="13">
        <v>8.4</v>
      </c>
      <c r="C62" s="13">
        <v>9.923</v>
      </c>
      <c r="D62" s="4" t="s">
        <v>25</v>
      </c>
      <c r="E62" s="5">
        <v>32000</v>
      </c>
      <c r="F62" s="6"/>
      <c r="G62" s="7">
        <f t="shared" si="3"/>
        <v>1454.5454545454122</v>
      </c>
      <c r="H62" s="8">
        <v>9.2899999999999991</v>
      </c>
      <c r="I62" s="8">
        <v>0</v>
      </c>
      <c r="J62" s="14">
        <f t="shared" si="4"/>
        <v>297280</v>
      </c>
      <c r="K62" s="10">
        <f t="shared" si="5"/>
        <v>270254.54545454541</v>
      </c>
      <c r="L62" s="7">
        <f t="shared" si="6"/>
        <v>268800</v>
      </c>
      <c r="M62" t="s">
        <v>13</v>
      </c>
    </row>
    <row r="63" spans="1:13" x14ac:dyDescent="0.3">
      <c r="A63" s="11">
        <v>45982</v>
      </c>
      <c r="B63" s="13">
        <v>8.4540000000000006</v>
      </c>
      <c r="C63" s="13">
        <v>9.6818100000000005</v>
      </c>
      <c r="D63" s="4" t="s">
        <v>33</v>
      </c>
      <c r="E63" s="5">
        <v>24000</v>
      </c>
      <c r="F63" s="6">
        <v>6000</v>
      </c>
      <c r="G63" s="7">
        <f t="shared" si="3"/>
        <v>26467.685454545368</v>
      </c>
      <c r="H63" s="8">
        <v>10.199999999999999</v>
      </c>
      <c r="I63" s="8">
        <v>11.9</v>
      </c>
      <c r="J63" s="14">
        <f t="shared" si="4"/>
        <v>316200</v>
      </c>
      <c r="K63" s="10">
        <f t="shared" si="5"/>
        <v>287454.54545454541</v>
      </c>
      <c r="L63" s="7">
        <f t="shared" si="6"/>
        <v>260986.86000000004</v>
      </c>
      <c r="M63" t="s">
        <v>15</v>
      </c>
    </row>
    <row r="64" spans="1:13" x14ac:dyDescent="0.3">
      <c r="A64" s="11">
        <v>45982</v>
      </c>
      <c r="B64" s="13">
        <v>8.4540000000000006</v>
      </c>
      <c r="C64" s="13">
        <v>9.6818100000000005</v>
      </c>
      <c r="D64" s="4" t="s">
        <v>14</v>
      </c>
      <c r="E64" s="5">
        <v>0</v>
      </c>
      <c r="F64" s="6">
        <v>4000</v>
      </c>
      <c r="G64" s="7">
        <f t="shared" si="3"/>
        <v>7090.941818181811</v>
      </c>
      <c r="H64" s="8">
        <v>10.81</v>
      </c>
      <c r="I64" s="8">
        <v>12.6</v>
      </c>
      <c r="J64" s="14">
        <f t="shared" si="4"/>
        <v>50400</v>
      </c>
      <c r="K64" s="10">
        <f t="shared" si="5"/>
        <v>45818.181818181816</v>
      </c>
      <c r="L64" s="7">
        <f t="shared" si="6"/>
        <v>38727.240000000005</v>
      </c>
      <c r="M64" t="s">
        <v>15</v>
      </c>
    </row>
    <row r="65" spans="1:13" x14ac:dyDescent="0.3">
      <c r="A65" s="11">
        <v>45982</v>
      </c>
      <c r="B65" s="13">
        <v>8.4540000000000006</v>
      </c>
      <c r="C65" s="13">
        <v>9.6818100000000005</v>
      </c>
      <c r="D65" s="4" t="s">
        <v>25</v>
      </c>
      <c r="E65" s="5">
        <v>25000</v>
      </c>
      <c r="F65" s="6">
        <v>8000</v>
      </c>
      <c r="G65" s="7">
        <f t="shared" si="3"/>
        <v>2240.97454545449</v>
      </c>
      <c r="H65" s="8">
        <v>9.35</v>
      </c>
      <c r="I65" s="8">
        <v>10.8</v>
      </c>
      <c r="J65" s="14">
        <f t="shared" si="4"/>
        <v>320150</v>
      </c>
      <c r="K65" s="10">
        <f t="shared" si="5"/>
        <v>291045.45454545453</v>
      </c>
      <c r="L65" s="7">
        <f t="shared" si="6"/>
        <v>288804.48000000004</v>
      </c>
      <c r="M65" t="s">
        <v>13</v>
      </c>
    </row>
    <row r="66" spans="1:13" x14ac:dyDescent="0.3">
      <c r="A66" s="11">
        <v>45983</v>
      </c>
      <c r="B66" s="13">
        <v>8.4540000000000006</v>
      </c>
      <c r="C66" s="13">
        <v>9.6818100000000005</v>
      </c>
      <c r="D66" s="4" t="s">
        <v>25</v>
      </c>
      <c r="E66" s="5">
        <v>33000</v>
      </c>
      <c r="F66" s="6">
        <v>0</v>
      </c>
      <c r="G66" s="7">
        <f t="shared" si="3"/>
        <v>1518</v>
      </c>
      <c r="H66" s="8">
        <v>9.35</v>
      </c>
      <c r="I66" s="8">
        <v>10.8</v>
      </c>
      <c r="J66" s="14">
        <f t="shared" si="4"/>
        <v>308550</v>
      </c>
      <c r="K66" s="10">
        <f t="shared" si="5"/>
        <v>280500</v>
      </c>
      <c r="L66" s="7">
        <f t="shared" ref="L66:L97" si="7">(B66*E66)+(F66*C66)</f>
        <v>278982</v>
      </c>
      <c r="M66" t="s">
        <v>13</v>
      </c>
    </row>
    <row r="67" spans="1:13" x14ac:dyDescent="0.3">
      <c r="A67" s="11">
        <v>45983</v>
      </c>
      <c r="B67" s="13">
        <v>8.4540000000000006</v>
      </c>
      <c r="C67" s="13">
        <v>9.6818100000000005</v>
      </c>
      <c r="D67" s="4" t="s">
        <v>25</v>
      </c>
      <c r="E67" s="5">
        <v>23000</v>
      </c>
      <c r="F67" s="6">
        <v>10000</v>
      </c>
      <c r="G67" s="7">
        <f t="shared" ref="G67:G89" si="8">K67-L67</f>
        <v>2421.7181818181998</v>
      </c>
      <c r="H67" s="8">
        <v>9.35</v>
      </c>
      <c r="I67" s="8">
        <v>10.8</v>
      </c>
      <c r="J67" s="14">
        <f t="shared" si="4"/>
        <v>323050</v>
      </c>
      <c r="K67" s="10">
        <f t="shared" si="5"/>
        <v>293681.81818181818</v>
      </c>
      <c r="L67" s="7">
        <f t="shared" si="7"/>
        <v>291260.09999999998</v>
      </c>
      <c r="M67" t="s">
        <v>13</v>
      </c>
    </row>
    <row r="68" spans="1:13" x14ac:dyDescent="0.3">
      <c r="A68" s="11">
        <v>45983</v>
      </c>
      <c r="B68" s="13">
        <v>8.4540000000000006</v>
      </c>
      <c r="C68" s="13">
        <v>9.6818100000000005</v>
      </c>
      <c r="D68" s="4" t="s">
        <v>25</v>
      </c>
      <c r="E68" s="5">
        <v>32000</v>
      </c>
      <c r="F68" s="6">
        <v>0</v>
      </c>
      <c r="G68" s="7">
        <f t="shared" si="8"/>
        <v>1472</v>
      </c>
      <c r="H68" s="8">
        <v>9.35</v>
      </c>
      <c r="I68" s="8">
        <v>10.8</v>
      </c>
      <c r="J68" s="14">
        <f t="shared" si="4"/>
        <v>299200</v>
      </c>
      <c r="K68" s="10">
        <f t="shared" si="5"/>
        <v>272000</v>
      </c>
      <c r="L68" s="7">
        <f t="shared" si="7"/>
        <v>270528</v>
      </c>
      <c r="M68" t="s">
        <v>13</v>
      </c>
    </row>
    <row r="69" spans="1:13" x14ac:dyDescent="0.3">
      <c r="A69" s="11">
        <v>45983</v>
      </c>
      <c r="B69" s="13">
        <v>8.4540000000000006</v>
      </c>
      <c r="C69" s="13">
        <v>9.6818100000000005</v>
      </c>
      <c r="D69" s="4" t="s">
        <v>25</v>
      </c>
      <c r="E69" s="5">
        <v>31000</v>
      </c>
      <c r="F69" s="6">
        <v>0</v>
      </c>
      <c r="G69" s="7">
        <f t="shared" si="8"/>
        <v>1425.9999999999709</v>
      </c>
      <c r="H69" s="8">
        <v>9.35</v>
      </c>
      <c r="I69" s="8">
        <v>10.8</v>
      </c>
      <c r="J69" s="14">
        <f t="shared" si="4"/>
        <v>289850</v>
      </c>
      <c r="K69" s="10">
        <f t="shared" si="5"/>
        <v>263500</v>
      </c>
      <c r="L69" s="7">
        <f t="shared" si="7"/>
        <v>262074.00000000003</v>
      </c>
      <c r="M69" t="s">
        <v>13</v>
      </c>
    </row>
    <row r="70" spans="1:13" x14ac:dyDescent="0.3">
      <c r="A70" s="11">
        <v>45985</v>
      </c>
      <c r="B70" s="13">
        <v>8.4540000000000006</v>
      </c>
      <c r="C70" s="13">
        <v>9.6818100000000005</v>
      </c>
      <c r="D70" s="4" t="s">
        <v>25</v>
      </c>
      <c r="E70" s="5">
        <v>33000</v>
      </c>
      <c r="F70" s="6">
        <v>0</v>
      </c>
      <c r="G70" s="7">
        <f t="shared" si="8"/>
        <v>1518</v>
      </c>
      <c r="H70" s="8">
        <v>9.35</v>
      </c>
      <c r="I70" s="8">
        <v>10.8</v>
      </c>
      <c r="J70" s="14">
        <f t="shared" si="4"/>
        <v>308550</v>
      </c>
      <c r="K70" s="10">
        <f t="shared" si="5"/>
        <v>280500</v>
      </c>
      <c r="L70" s="7">
        <f t="shared" si="7"/>
        <v>278982</v>
      </c>
      <c r="M70" t="s">
        <v>13</v>
      </c>
    </row>
    <row r="71" spans="1:13" x14ac:dyDescent="0.3">
      <c r="A71" s="11">
        <v>45986</v>
      </c>
      <c r="B71" s="13">
        <v>8.4540000000000006</v>
      </c>
      <c r="C71" s="13">
        <v>9.6818100000000005</v>
      </c>
      <c r="D71" s="4" t="s">
        <v>25</v>
      </c>
      <c r="E71" s="5">
        <v>22000</v>
      </c>
      <c r="F71" s="6">
        <v>9000</v>
      </c>
      <c r="G71" s="7">
        <f t="shared" si="8"/>
        <v>2239.3463636363158</v>
      </c>
      <c r="H71" s="8">
        <v>9.35</v>
      </c>
      <c r="I71" s="8">
        <v>10.8</v>
      </c>
      <c r="J71" s="14">
        <f t="shared" si="4"/>
        <v>302900</v>
      </c>
      <c r="K71" s="10">
        <f t="shared" si="5"/>
        <v>275363.63636363635</v>
      </c>
      <c r="L71" s="7">
        <f t="shared" si="7"/>
        <v>273124.29000000004</v>
      </c>
      <c r="M71" t="s">
        <v>13</v>
      </c>
    </row>
    <row r="72" spans="1:13" x14ac:dyDescent="0.3">
      <c r="A72" s="11">
        <v>45986</v>
      </c>
      <c r="B72" s="13">
        <v>8.4540000000000006</v>
      </c>
      <c r="C72" s="13">
        <v>9.6818100000000005</v>
      </c>
      <c r="D72" s="4" t="s">
        <v>25</v>
      </c>
      <c r="E72" s="5">
        <v>33000</v>
      </c>
      <c r="F72" s="6">
        <v>0</v>
      </c>
      <c r="G72" s="7">
        <f t="shared" si="8"/>
        <v>1518</v>
      </c>
      <c r="H72" s="8">
        <v>9.35</v>
      </c>
      <c r="I72" s="8">
        <v>10.8</v>
      </c>
      <c r="J72" s="14">
        <f t="shared" si="4"/>
        <v>308550</v>
      </c>
      <c r="K72" s="10">
        <f t="shared" si="5"/>
        <v>280500</v>
      </c>
      <c r="L72" s="7">
        <f t="shared" si="7"/>
        <v>278982</v>
      </c>
      <c r="M72" t="s">
        <v>13</v>
      </c>
    </row>
    <row r="73" spans="1:13" x14ac:dyDescent="0.3">
      <c r="A73" s="11">
        <v>45987</v>
      </c>
      <c r="B73" s="13">
        <v>8.4540000000000006</v>
      </c>
      <c r="C73" s="13">
        <v>9.6818100000000005</v>
      </c>
      <c r="D73" s="4" t="s">
        <v>29</v>
      </c>
      <c r="E73" s="5">
        <v>17000</v>
      </c>
      <c r="F73" s="6">
        <v>0</v>
      </c>
      <c r="G73" s="7">
        <f t="shared" si="8"/>
        <v>19791.090909090883</v>
      </c>
      <c r="H73" s="8">
        <v>10.58</v>
      </c>
      <c r="I73" s="8">
        <v>0</v>
      </c>
      <c r="J73" s="14">
        <f t="shared" si="4"/>
        <v>179860</v>
      </c>
      <c r="K73" s="10">
        <f t="shared" si="5"/>
        <v>163509.09090909088</v>
      </c>
      <c r="L73" s="7">
        <f t="shared" si="7"/>
        <v>143718</v>
      </c>
      <c r="M73" t="s">
        <v>20</v>
      </c>
    </row>
    <row r="74" spans="1:13" x14ac:dyDescent="0.3">
      <c r="A74" s="11">
        <v>45987</v>
      </c>
      <c r="B74" s="13">
        <v>8.4540000000000006</v>
      </c>
      <c r="C74" s="13">
        <v>9.6818100000000005</v>
      </c>
      <c r="D74" s="4" t="s">
        <v>32</v>
      </c>
      <c r="E74" s="5">
        <v>34000</v>
      </c>
      <c r="F74" s="6">
        <v>0</v>
      </c>
      <c r="G74" s="7">
        <f t="shared" si="8"/>
        <v>19800.363636363589</v>
      </c>
      <c r="H74" s="8">
        <v>9.94</v>
      </c>
      <c r="I74" s="8">
        <v>11.74</v>
      </c>
      <c r="J74" s="14">
        <f t="shared" si="4"/>
        <v>337960</v>
      </c>
      <c r="K74" s="10">
        <f t="shared" si="5"/>
        <v>307236.36363636359</v>
      </c>
      <c r="L74" s="7">
        <f t="shared" si="7"/>
        <v>287436</v>
      </c>
      <c r="M74" t="s">
        <v>15</v>
      </c>
    </row>
    <row r="75" spans="1:13" x14ac:dyDescent="0.3">
      <c r="A75" s="11">
        <v>45987</v>
      </c>
      <c r="B75" s="13">
        <v>8.4540000000000006</v>
      </c>
      <c r="C75" s="13">
        <v>9.6818100000000005</v>
      </c>
      <c r="D75" s="4" t="s">
        <v>28</v>
      </c>
      <c r="E75" s="5">
        <v>10000</v>
      </c>
      <c r="F75" s="6">
        <v>6000</v>
      </c>
      <c r="G75" s="7">
        <f t="shared" si="8"/>
        <v>17132.776363636367</v>
      </c>
      <c r="H75" s="8">
        <v>10.32</v>
      </c>
      <c r="I75" s="8">
        <v>12.09</v>
      </c>
      <c r="J75" s="14">
        <f t="shared" si="4"/>
        <v>175740</v>
      </c>
      <c r="K75" s="10">
        <f t="shared" si="5"/>
        <v>159763.63636363635</v>
      </c>
      <c r="L75" s="7">
        <f t="shared" si="7"/>
        <v>142630.85999999999</v>
      </c>
      <c r="M75" t="s">
        <v>15</v>
      </c>
    </row>
    <row r="76" spans="1:13" x14ac:dyDescent="0.3">
      <c r="A76" s="11">
        <v>45987</v>
      </c>
      <c r="B76" s="13">
        <v>8.4540000000000006</v>
      </c>
      <c r="C76" s="13">
        <v>9.6818100000000005</v>
      </c>
      <c r="D76" s="4" t="s">
        <v>23</v>
      </c>
      <c r="E76" s="5">
        <v>15000</v>
      </c>
      <c r="F76" s="6">
        <v>2000</v>
      </c>
      <c r="G76" s="7">
        <f t="shared" si="8"/>
        <v>17153.652727272682</v>
      </c>
      <c r="H76" s="8">
        <v>10.36</v>
      </c>
      <c r="I76" s="8">
        <v>12.13</v>
      </c>
      <c r="J76" s="14">
        <f t="shared" si="4"/>
        <v>179660</v>
      </c>
      <c r="K76" s="10">
        <f t="shared" si="5"/>
        <v>163327.27272727271</v>
      </c>
      <c r="L76" s="7">
        <f t="shared" si="7"/>
        <v>146173.62000000002</v>
      </c>
      <c r="M76" t="s">
        <v>15</v>
      </c>
    </row>
    <row r="77" spans="1:13" x14ac:dyDescent="0.3">
      <c r="A77" s="11">
        <v>45987</v>
      </c>
      <c r="B77" s="13">
        <v>8.4540000000000006</v>
      </c>
      <c r="C77" s="13">
        <v>9.6818100000000005</v>
      </c>
      <c r="D77" s="4" t="s">
        <v>25</v>
      </c>
      <c r="E77" s="5">
        <v>33000</v>
      </c>
      <c r="F77" s="6">
        <v>0</v>
      </c>
      <c r="G77" s="7">
        <f t="shared" si="8"/>
        <v>1518</v>
      </c>
      <c r="H77" s="8">
        <v>9.35</v>
      </c>
      <c r="I77" s="8">
        <v>10.8</v>
      </c>
      <c r="J77" s="14">
        <f t="shared" si="4"/>
        <v>308550</v>
      </c>
      <c r="K77" s="10">
        <f t="shared" si="5"/>
        <v>280500</v>
      </c>
      <c r="L77" s="7">
        <f t="shared" si="7"/>
        <v>278982</v>
      </c>
      <c r="M77" t="s">
        <v>13</v>
      </c>
    </row>
    <row r="78" spans="1:13" x14ac:dyDescent="0.3">
      <c r="A78" s="11">
        <v>45987</v>
      </c>
      <c r="B78" s="13">
        <v>8.4540000000000006</v>
      </c>
      <c r="C78" s="13">
        <v>9.6818100000000005</v>
      </c>
      <c r="D78" s="4" t="s">
        <v>25</v>
      </c>
      <c r="E78" s="5">
        <v>33000</v>
      </c>
      <c r="F78" s="6">
        <v>0</v>
      </c>
      <c r="G78" s="7">
        <f t="shared" si="8"/>
        <v>1518</v>
      </c>
      <c r="H78" s="8">
        <v>9.35</v>
      </c>
      <c r="I78" s="8">
        <v>10.8</v>
      </c>
      <c r="J78" s="14">
        <f t="shared" si="4"/>
        <v>308550</v>
      </c>
      <c r="K78" s="10">
        <f t="shared" si="5"/>
        <v>280500</v>
      </c>
      <c r="L78" s="7">
        <f t="shared" si="7"/>
        <v>278982</v>
      </c>
      <c r="M78" t="s">
        <v>13</v>
      </c>
    </row>
    <row r="79" spans="1:13" x14ac:dyDescent="0.3">
      <c r="A79" s="11">
        <v>45988</v>
      </c>
      <c r="B79" s="13">
        <v>8.4540000000000006</v>
      </c>
      <c r="C79" s="13">
        <v>9.6818100000000005</v>
      </c>
      <c r="D79" s="4" t="s">
        <v>17</v>
      </c>
      <c r="E79" s="5">
        <v>15000</v>
      </c>
      <c r="F79" s="6">
        <v>4000</v>
      </c>
      <c r="G79" s="7">
        <f t="shared" si="8"/>
        <v>17899.123636363598</v>
      </c>
      <c r="H79" s="8">
        <v>10.220000000000001</v>
      </c>
      <c r="I79" s="8">
        <v>12.12</v>
      </c>
      <c r="J79" s="14">
        <f t="shared" si="4"/>
        <v>201780</v>
      </c>
      <c r="K79" s="10">
        <f t="shared" si="5"/>
        <v>183436.36363636362</v>
      </c>
      <c r="L79" s="7">
        <f t="shared" si="7"/>
        <v>165537.24000000002</v>
      </c>
      <c r="M79" t="s">
        <v>15</v>
      </c>
    </row>
    <row r="80" spans="1:13" x14ac:dyDescent="0.3">
      <c r="A80" s="11">
        <v>45988</v>
      </c>
      <c r="B80" s="13">
        <v>8.4540000000000006</v>
      </c>
      <c r="C80" s="13">
        <v>9.6818100000000005</v>
      </c>
      <c r="D80" s="4" t="s">
        <v>14</v>
      </c>
      <c r="E80" s="5">
        <v>12000</v>
      </c>
      <c r="F80" s="6">
        <v>3000</v>
      </c>
      <c r="G80" s="7">
        <f t="shared" si="8"/>
        <v>21797.479090909066</v>
      </c>
      <c r="H80" s="8">
        <v>10.81</v>
      </c>
      <c r="I80" s="8">
        <v>12.6</v>
      </c>
      <c r="J80" s="14">
        <f t="shared" si="4"/>
        <v>167520</v>
      </c>
      <c r="K80" s="10">
        <f t="shared" si="5"/>
        <v>152290.90909090909</v>
      </c>
      <c r="L80" s="7">
        <f t="shared" si="7"/>
        <v>130493.43000000002</v>
      </c>
      <c r="M80" t="s">
        <v>15</v>
      </c>
    </row>
    <row r="81" spans="1:13" x14ac:dyDescent="0.3">
      <c r="A81" s="11">
        <v>45988</v>
      </c>
      <c r="B81" s="13">
        <v>8.4540000000000006</v>
      </c>
      <c r="C81" s="13">
        <v>9.6818100000000005</v>
      </c>
      <c r="D81" s="4" t="s">
        <v>24</v>
      </c>
      <c r="E81" s="5">
        <v>13000</v>
      </c>
      <c r="F81" s="6">
        <v>7000</v>
      </c>
      <c r="G81" s="7">
        <f t="shared" si="8"/>
        <v>23770.784545454517</v>
      </c>
      <c r="H81" s="8">
        <v>10.46</v>
      </c>
      <c r="I81" s="8">
        <v>12.23</v>
      </c>
      <c r="J81" s="14">
        <f t="shared" si="4"/>
        <v>221590</v>
      </c>
      <c r="K81" s="10">
        <f t="shared" si="5"/>
        <v>201445.45454545453</v>
      </c>
      <c r="L81" s="7">
        <f t="shared" si="7"/>
        <v>177674.67</v>
      </c>
      <c r="M81" t="s">
        <v>15</v>
      </c>
    </row>
    <row r="82" spans="1:13" x14ac:dyDescent="0.3">
      <c r="A82" s="11">
        <v>45988</v>
      </c>
      <c r="B82" s="13">
        <v>8.4540000000000006</v>
      </c>
      <c r="C82" s="13">
        <v>9.6818100000000005</v>
      </c>
      <c r="D82" s="4" t="s">
        <v>33</v>
      </c>
      <c r="E82" s="5">
        <v>13000</v>
      </c>
      <c r="F82" s="6">
        <v>0</v>
      </c>
      <c r="G82" s="7">
        <f t="shared" si="8"/>
        <v>10643.454545454515</v>
      </c>
      <c r="H82" s="8">
        <v>10.199999999999999</v>
      </c>
      <c r="I82" s="8">
        <v>11.9</v>
      </c>
      <c r="J82" s="14">
        <f t="shared" si="4"/>
        <v>132600</v>
      </c>
      <c r="K82" s="10">
        <f t="shared" si="5"/>
        <v>120545.45454545453</v>
      </c>
      <c r="L82" s="7">
        <f t="shared" si="7"/>
        <v>109902.00000000001</v>
      </c>
      <c r="M82" t="s">
        <v>15</v>
      </c>
    </row>
    <row r="83" spans="1:13" x14ac:dyDescent="0.3">
      <c r="A83" s="11">
        <v>45988</v>
      </c>
      <c r="B83" s="13">
        <v>8.4540000000000006</v>
      </c>
      <c r="C83" s="13">
        <v>9.6818100000000005</v>
      </c>
      <c r="D83" s="4" t="s">
        <v>25</v>
      </c>
      <c r="E83" s="5">
        <v>23000</v>
      </c>
      <c r="F83" s="6">
        <v>10000</v>
      </c>
      <c r="G83" s="7">
        <f t="shared" si="8"/>
        <v>2421.7181818181998</v>
      </c>
      <c r="H83" s="8">
        <v>9.35</v>
      </c>
      <c r="I83" s="8">
        <v>10.8</v>
      </c>
      <c r="J83" s="14">
        <f t="shared" si="4"/>
        <v>323050</v>
      </c>
      <c r="K83" s="10">
        <f t="shared" si="5"/>
        <v>293681.81818181818</v>
      </c>
      <c r="L83" s="7">
        <f t="shared" si="7"/>
        <v>291260.09999999998</v>
      </c>
      <c r="M83" t="s">
        <v>13</v>
      </c>
    </row>
    <row r="84" spans="1:13" x14ac:dyDescent="0.3">
      <c r="A84" s="11">
        <v>45988</v>
      </c>
      <c r="B84" s="13">
        <v>8.4540000000000006</v>
      </c>
      <c r="C84" s="13">
        <v>9.6818100000000005</v>
      </c>
      <c r="D84" s="4" t="s">
        <v>25</v>
      </c>
      <c r="E84" s="5">
        <v>25000</v>
      </c>
      <c r="F84" s="6">
        <v>8000</v>
      </c>
      <c r="G84" s="7">
        <f t="shared" si="8"/>
        <v>2240.97454545449</v>
      </c>
      <c r="H84" s="8">
        <v>9.35</v>
      </c>
      <c r="I84" s="8">
        <v>10.8</v>
      </c>
      <c r="J84" s="14">
        <f t="shared" ref="J84:J89" si="9">(E84*H84)+(F84*I84)</f>
        <v>320150</v>
      </c>
      <c r="K84" s="10">
        <f t="shared" si="5"/>
        <v>291045.45454545453</v>
      </c>
      <c r="L84" s="7">
        <f t="shared" si="7"/>
        <v>288804.48000000004</v>
      </c>
      <c r="M84" t="s">
        <v>13</v>
      </c>
    </row>
    <row r="85" spans="1:13" x14ac:dyDescent="0.3">
      <c r="A85" s="11">
        <v>45988</v>
      </c>
      <c r="B85" s="13">
        <v>8.4540000000000006</v>
      </c>
      <c r="C85" s="13">
        <v>9.6818100000000005</v>
      </c>
      <c r="D85" s="4" t="s">
        <v>25</v>
      </c>
      <c r="E85" s="5">
        <v>32000</v>
      </c>
      <c r="F85" s="6"/>
      <c r="G85" s="7">
        <f t="shared" si="8"/>
        <v>1472</v>
      </c>
      <c r="H85" s="8">
        <v>9.35</v>
      </c>
      <c r="I85" s="8">
        <v>10.8</v>
      </c>
      <c r="J85" s="14">
        <f t="shared" si="9"/>
        <v>299200</v>
      </c>
      <c r="K85" s="10">
        <f t="shared" si="5"/>
        <v>272000</v>
      </c>
      <c r="L85" s="7">
        <f t="shared" si="7"/>
        <v>270528</v>
      </c>
      <c r="M85" t="s">
        <v>13</v>
      </c>
    </row>
    <row r="86" spans="1:13" x14ac:dyDescent="0.3">
      <c r="A86" s="11">
        <v>45988</v>
      </c>
      <c r="B86" s="13">
        <v>8.4540000000000006</v>
      </c>
      <c r="C86" s="13">
        <v>9.6818100000000005</v>
      </c>
      <c r="D86" s="4" t="s">
        <v>25</v>
      </c>
      <c r="E86" s="5">
        <v>26000</v>
      </c>
      <c r="F86" s="6">
        <v>5000</v>
      </c>
      <c r="G86" s="7">
        <f t="shared" si="8"/>
        <v>1877.8590909090126</v>
      </c>
      <c r="H86" s="8">
        <v>9.35</v>
      </c>
      <c r="I86" s="8">
        <v>10.8</v>
      </c>
      <c r="J86" s="14">
        <f t="shared" si="9"/>
        <v>297100</v>
      </c>
      <c r="K86" s="10">
        <f t="shared" si="5"/>
        <v>270090.90909090906</v>
      </c>
      <c r="L86" s="7">
        <f t="shared" si="7"/>
        <v>268213.05000000005</v>
      </c>
      <c r="M86" t="s">
        <v>13</v>
      </c>
    </row>
    <row r="87" spans="1:13" x14ac:dyDescent="0.3">
      <c r="A87" s="11">
        <v>45989</v>
      </c>
      <c r="B87" s="13">
        <v>8.4540000000000006</v>
      </c>
      <c r="C87" s="13">
        <v>9.6818100000000005</v>
      </c>
      <c r="D87" s="4" t="s">
        <v>18</v>
      </c>
      <c r="E87" s="5">
        <v>28000</v>
      </c>
      <c r="F87" s="6">
        <v>5000</v>
      </c>
      <c r="G87" s="7">
        <f t="shared" si="8"/>
        <v>24724.404545454483</v>
      </c>
      <c r="H87" s="8">
        <v>10.06</v>
      </c>
      <c r="I87" s="8">
        <v>11.83</v>
      </c>
      <c r="J87" s="14">
        <f t="shared" si="9"/>
        <v>340830</v>
      </c>
      <c r="K87" s="10">
        <f t="shared" si="5"/>
        <v>309845.45454545453</v>
      </c>
      <c r="L87" s="7">
        <f t="shared" si="7"/>
        <v>285121.05000000005</v>
      </c>
      <c r="M87" t="s">
        <v>15</v>
      </c>
    </row>
    <row r="88" spans="1:13" x14ac:dyDescent="0.3">
      <c r="A88" s="11">
        <v>45989</v>
      </c>
      <c r="B88" s="13">
        <v>8.4540000000000006</v>
      </c>
      <c r="C88" s="13">
        <v>9.6818100000000005</v>
      </c>
      <c r="D88" s="4" t="s">
        <v>16</v>
      </c>
      <c r="E88" s="5">
        <v>29000</v>
      </c>
      <c r="F88" s="6">
        <v>5000</v>
      </c>
      <c r="G88" s="7">
        <f t="shared" si="8"/>
        <v>37106.76818181813</v>
      </c>
      <c r="H88" s="8">
        <v>10.45</v>
      </c>
      <c r="I88" s="8">
        <v>12.14</v>
      </c>
      <c r="J88" s="14">
        <f t="shared" si="9"/>
        <v>363750</v>
      </c>
      <c r="K88" s="10">
        <f t="shared" si="5"/>
        <v>330681.81818181818</v>
      </c>
      <c r="L88" s="7">
        <f t="shared" si="7"/>
        <v>293575.05000000005</v>
      </c>
      <c r="M88" t="s">
        <v>15</v>
      </c>
    </row>
    <row r="89" spans="1:13" x14ac:dyDescent="0.3">
      <c r="A89" s="11">
        <v>45989</v>
      </c>
      <c r="B89" s="13">
        <v>8.4540000000000006</v>
      </c>
      <c r="C89" s="13">
        <v>9.6818100000000005</v>
      </c>
      <c r="D89" s="4" t="s">
        <v>26</v>
      </c>
      <c r="E89" s="5">
        <v>10000</v>
      </c>
      <c r="F89" s="6"/>
      <c r="G89" s="7">
        <f t="shared" si="8"/>
        <v>460</v>
      </c>
      <c r="H89" s="8">
        <v>9.35</v>
      </c>
      <c r="I89" s="8"/>
      <c r="J89" s="14">
        <f t="shared" si="9"/>
        <v>93500</v>
      </c>
      <c r="K89" s="10">
        <f t="shared" si="5"/>
        <v>85000</v>
      </c>
      <c r="L89" s="7">
        <f t="shared" si="7"/>
        <v>84540</v>
      </c>
      <c r="M89" t="s">
        <v>13</v>
      </c>
    </row>
    <row r="90" spans="1:13" x14ac:dyDescent="0.3">
      <c r="A90" s="3">
        <v>45993</v>
      </c>
      <c r="B90" s="13">
        <v>8.4878</v>
      </c>
      <c r="C90" s="13">
        <v>9.5975099999999998</v>
      </c>
      <c r="D90" s="4" t="s">
        <v>33</v>
      </c>
      <c r="E90" s="5">
        <v>29000</v>
      </c>
      <c r="F90" s="6">
        <v>5000</v>
      </c>
      <c r="G90" s="7">
        <f>K90-L90</f>
        <v>28866.25</v>
      </c>
      <c r="H90" s="8">
        <v>10.199999999999999</v>
      </c>
      <c r="I90" s="8">
        <v>11.9</v>
      </c>
      <c r="J90" s="9">
        <f>(E90*H90)+(F90*I90)</f>
        <v>355300</v>
      </c>
      <c r="K90" s="10">
        <f t="shared" si="5"/>
        <v>323000</v>
      </c>
      <c r="L90" s="7">
        <f t="shared" si="7"/>
        <v>294133.75</v>
      </c>
      <c r="M90" t="s">
        <v>15</v>
      </c>
    </row>
    <row r="91" spans="1:13" x14ac:dyDescent="0.3">
      <c r="A91" s="3">
        <v>45995</v>
      </c>
      <c r="B91" s="13">
        <v>8.4</v>
      </c>
      <c r="C91" s="13">
        <v>9.923</v>
      </c>
      <c r="D91" s="4" t="s">
        <v>18</v>
      </c>
      <c r="E91" s="5">
        <v>30000</v>
      </c>
      <c r="F91" s="6">
        <v>4000</v>
      </c>
      <c r="G91" s="7">
        <f t="shared" ref="G91:G128" si="10">K91-L91</f>
        <v>25689.818181818177</v>
      </c>
      <c r="H91" s="8">
        <v>10.06</v>
      </c>
      <c r="I91" s="8">
        <v>11.83</v>
      </c>
      <c r="J91" s="9">
        <f t="shared" ref="J91:J128" si="11">(E91*H91)+(F91*I91)</f>
        <v>349120</v>
      </c>
      <c r="K91" s="10">
        <f t="shared" si="5"/>
        <v>317381.81818181818</v>
      </c>
      <c r="L91" s="7">
        <f t="shared" si="7"/>
        <v>291692</v>
      </c>
      <c r="M91" t="s">
        <v>15</v>
      </c>
    </row>
    <row r="92" spans="1:13" x14ac:dyDescent="0.3">
      <c r="A92" s="3">
        <v>45996</v>
      </c>
      <c r="B92" s="13">
        <v>8.4878</v>
      </c>
      <c r="C92" s="13">
        <v>9.5975099999999998</v>
      </c>
      <c r="D92" s="4" t="s">
        <v>30</v>
      </c>
      <c r="E92" s="5">
        <v>33000</v>
      </c>
      <c r="F92" s="6">
        <v>0</v>
      </c>
      <c r="G92" s="7">
        <f t="shared" si="10"/>
        <v>30102.599999999977</v>
      </c>
      <c r="H92" s="8">
        <v>10.34</v>
      </c>
      <c r="I92" s="8">
        <v>0</v>
      </c>
      <c r="J92" s="9">
        <f t="shared" si="11"/>
        <v>341220</v>
      </c>
      <c r="K92" s="10">
        <f t="shared" si="5"/>
        <v>310200</v>
      </c>
      <c r="L92" s="7">
        <f t="shared" si="7"/>
        <v>280097.40000000002</v>
      </c>
      <c r="M92" t="s">
        <v>15</v>
      </c>
    </row>
    <row r="93" spans="1:13" x14ac:dyDescent="0.3">
      <c r="A93" s="3">
        <v>45997</v>
      </c>
      <c r="B93" s="13">
        <v>8.4</v>
      </c>
      <c r="C93" s="13">
        <v>9.923</v>
      </c>
      <c r="D93" s="4" t="s">
        <v>19</v>
      </c>
      <c r="E93" s="5">
        <v>18000</v>
      </c>
      <c r="F93" s="6"/>
      <c r="G93" s="7">
        <f t="shared" si="10"/>
        <v>14400</v>
      </c>
      <c r="H93" s="8">
        <v>10.119999999999999</v>
      </c>
      <c r="I93" s="8">
        <v>0</v>
      </c>
      <c r="J93" s="9">
        <f>(E93*H93)+(F93*I93)</f>
        <v>182160</v>
      </c>
      <c r="K93" s="10">
        <f t="shared" si="5"/>
        <v>165600</v>
      </c>
      <c r="L93" s="7">
        <f t="shared" si="7"/>
        <v>151200</v>
      </c>
      <c r="M93" t="s">
        <v>20</v>
      </c>
    </row>
    <row r="94" spans="1:13" x14ac:dyDescent="0.3">
      <c r="A94" s="3">
        <v>45997</v>
      </c>
      <c r="B94" s="13">
        <v>8.4</v>
      </c>
      <c r="C94" s="13">
        <v>9.923</v>
      </c>
      <c r="D94" s="4" t="s">
        <v>14</v>
      </c>
      <c r="E94" s="5">
        <v>16000</v>
      </c>
      <c r="F94" s="6"/>
      <c r="G94" s="7">
        <f t="shared" si="10"/>
        <v>22836.363636363618</v>
      </c>
      <c r="H94" s="8">
        <v>10.81</v>
      </c>
      <c r="I94" s="8">
        <v>12.6</v>
      </c>
      <c r="J94" s="9">
        <f>(E94*H94)+(F94*I94)</f>
        <v>172960</v>
      </c>
      <c r="K94" s="10">
        <f t="shared" ref="K94:K128" si="12">J94/1.1</f>
        <v>157236.36363636362</v>
      </c>
      <c r="L94" s="7">
        <f t="shared" si="7"/>
        <v>134400</v>
      </c>
      <c r="M94" t="s">
        <v>15</v>
      </c>
    </row>
    <row r="95" spans="1:13" x14ac:dyDescent="0.3">
      <c r="A95" s="3">
        <v>45999</v>
      </c>
      <c r="B95" s="13">
        <v>8.4878</v>
      </c>
      <c r="C95" s="13">
        <v>9.5975099999999998</v>
      </c>
      <c r="D95" s="4" t="s">
        <v>16</v>
      </c>
      <c r="E95" s="5">
        <v>10000</v>
      </c>
      <c r="F95" s="5"/>
      <c r="G95" s="7">
        <f t="shared" si="10"/>
        <v>10121.999999999985</v>
      </c>
      <c r="H95" s="8">
        <v>10.45</v>
      </c>
      <c r="I95" s="8">
        <v>12.14</v>
      </c>
      <c r="J95" s="9">
        <f t="shared" si="11"/>
        <v>104500</v>
      </c>
      <c r="K95" s="10">
        <f>J95/1.1</f>
        <v>94999.999999999985</v>
      </c>
      <c r="L95" s="7">
        <f t="shared" si="7"/>
        <v>84878</v>
      </c>
      <c r="M95" t="s">
        <v>15</v>
      </c>
    </row>
    <row r="96" spans="1:13" x14ac:dyDescent="0.3">
      <c r="A96" s="3">
        <v>45999</v>
      </c>
      <c r="B96" s="13">
        <v>8.4878</v>
      </c>
      <c r="C96" s="13">
        <v>9.5975099999999998</v>
      </c>
      <c r="D96" s="4" t="s">
        <v>33</v>
      </c>
      <c r="E96" s="5">
        <v>15000</v>
      </c>
      <c r="F96" s="5">
        <v>5000</v>
      </c>
      <c r="G96" s="7">
        <f t="shared" si="10"/>
        <v>17877.268181818188</v>
      </c>
      <c r="H96" s="8">
        <v>10.199999999999999</v>
      </c>
      <c r="I96" s="8">
        <v>11.9</v>
      </c>
      <c r="J96" s="9">
        <f t="shared" si="11"/>
        <v>212500</v>
      </c>
      <c r="K96" s="10">
        <f t="shared" si="12"/>
        <v>193181.81818181818</v>
      </c>
      <c r="L96" s="7">
        <f t="shared" si="7"/>
        <v>175304.55</v>
      </c>
      <c r="M96" t="s">
        <v>15</v>
      </c>
    </row>
    <row r="97" spans="1:13" x14ac:dyDescent="0.3">
      <c r="A97" s="3">
        <v>45999</v>
      </c>
      <c r="B97" s="13">
        <v>8.4878</v>
      </c>
      <c r="C97" s="13">
        <v>9.5975099999999998</v>
      </c>
      <c r="D97" s="4" t="s">
        <v>14</v>
      </c>
      <c r="E97" s="5">
        <v>0</v>
      </c>
      <c r="F97" s="5">
        <v>4000</v>
      </c>
      <c r="G97" s="7">
        <f t="shared" si="10"/>
        <v>7428.1418181818153</v>
      </c>
      <c r="H97" s="8">
        <v>10.81</v>
      </c>
      <c r="I97" s="8">
        <v>12.6</v>
      </c>
      <c r="J97" s="9">
        <f t="shared" si="11"/>
        <v>50400</v>
      </c>
      <c r="K97" s="10">
        <f t="shared" si="12"/>
        <v>45818.181818181816</v>
      </c>
      <c r="L97" s="7">
        <f t="shared" si="7"/>
        <v>38390.04</v>
      </c>
      <c r="M97" t="s">
        <v>15</v>
      </c>
    </row>
    <row r="98" spans="1:13" x14ac:dyDescent="0.3">
      <c r="A98" s="3">
        <v>45999</v>
      </c>
      <c r="B98" s="13">
        <v>8.4878</v>
      </c>
      <c r="C98" s="13">
        <v>9.5975099999999998</v>
      </c>
      <c r="D98" s="4" t="s">
        <v>32</v>
      </c>
      <c r="E98" s="5">
        <v>33000</v>
      </c>
      <c r="F98" s="5"/>
      <c r="G98" s="7">
        <f t="shared" si="10"/>
        <v>18102.599999999977</v>
      </c>
      <c r="H98" s="8">
        <v>9.94</v>
      </c>
      <c r="I98" s="8"/>
      <c r="J98" s="9">
        <f t="shared" si="11"/>
        <v>328020</v>
      </c>
      <c r="K98" s="10">
        <f t="shared" si="12"/>
        <v>298200</v>
      </c>
      <c r="L98" s="7">
        <f t="shared" ref="L98:L128" si="13">(B98*E98)+(F98*C98)</f>
        <v>280097.40000000002</v>
      </c>
      <c r="M98" t="s">
        <v>15</v>
      </c>
    </row>
    <row r="99" spans="1:13" x14ac:dyDescent="0.3">
      <c r="A99" s="3">
        <v>46000</v>
      </c>
      <c r="B99" s="13">
        <v>8.4878</v>
      </c>
      <c r="C99" s="13">
        <v>9.5975099999999998</v>
      </c>
      <c r="D99" s="4" t="s">
        <v>26</v>
      </c>
      <c r="E99" s="5">
        <v>0</v>
      </c>
      <c r="F99" s="6">
        <v>17000</v>
      </c>
      <c r="G99" s="7">
        <f t="shared" si="10"/>
        <v>1433.2390909091046</v>
      </c>
      <c r="H99" s="8"/>
      <c r="I99" s="8">
        <v>10.65</v>
      </c>
      <c r="J99" s="9">
        <f t="shared" si="11"/>
        <v>181050</v>
      </c>
      <c r="K99" s="10">
        <f t="shared" si="12"/>
        <v>164590.90909090909</v>
      </c>
      <c r="L99" s="7">
        <f t="shared" si="13"/>
        <v>163157.66999999998</v>
      </c>
      <c r="M99" t="s">
        <v>13</v>
      </c>
    </row>
    <row r="100" spans="1:13" x14ac:dyDescent="0.3">
      <c r="A100" s="3">
        <v>46001</v>
      </c>
      <c r="B100" s="13">
        <v>8.4</v>
      </c>
      <c r="C100" s="13">
        <v>9.923</v>
      </c>
      <c r="D100" s="4" t="s">
        <v>26</v>
      </c>
      <c r="E100" s="5">
        <v>10000</v>
      </c>
      <c r="F100" s="6"/>
      <c r="G100" s="7">
        <f t="shared" si="10"/>
        <v>454.54545454544132</v>
      </c>
      <c r="H100" s="8">
        <v>9.2899999999999991</v>
      </c>
      <c r="I100" s="8"/>
      <c r="J100" s="9">
        <f t="shared" si="11"/>
        <v>92899.999999999985</v>
      </c>
      <c r="K100" s="10">
        <f t="shared" si="12"/>
        <v>84454.545454545441</v>
      </c>
      <c r="L100" s="7">
        <f t="shared" si="13"/>
        <v>84000</v>
      </c>
      <c r="M100" t="s">
        <v>13</v>
      </c>
    </row>
    <row r="101" spans="1:13" x14ac:dyDescent="0.3">
      <c r="A101" s="3">
        <v>46003</v>
      </c>
      <c r="B101" s="13">
        <v>8.4878</v>
      </c>
      <c r="C101" s="13">
        <v>9.5975099999999998</v>
      </c>
      <c r="D101" s="4" t="s">
        <v>16</v>
      </c>
      <c r="E101" s="5">
        <v>28000</v>
      </c>
      <c r="F101" s="6">
        <v>6000</v>
      </c>
      <c r="G101" s="7">
        <f t="shared" si="10"/>
        <v>36974.721818181803</v>
      </c>
      <c r="H101" s="8">
        <v>10.45</v>
      </c>
      <c r="I101" s="8">
        <v>12.14</v>
      </c>
      <c r="J101" s="9">
        <f t="shared" si="11"/>
        <v>365440</v>
      </c>
      <c r="K101" s="10">
        <f t="shared" si="12"/>
        <v>332218.18181818177</v>
      </c>
      <c r="L101" s="7">
        <f t="shared" si="13"/>
        <v>295243.45999999996</v>
      </c>
      <c r="M101" t="s">
        <v>15</v>
      </c>
    </row>
    <row r="102" spans="1:13" x14ac:dyDescent="0.3">
      <c r="A102" s="3">
        <v>46004</v>
      </c>
      <c r="B102" s="13">
        <v>8.4878</v>
      </c>
      <c r="C102" s="13">
        <v>9.5975099999999998</v>
      </c>
      <c r="D102" s="4" t="s">
        <v>18</v>
      </c>
      <c r="E102" s="5">
        <v>29000</v>
      </c>
      <c r="F102" s="5">
        <v>4000</v>
      </c>
      <c r="G102" s="7">
        <f t="shared" si="10"/>
        <v>23700.123636363598</v>
      </c>
      <c r="H102" s="8">
        <v>10.06</v>
      </c>
      <c r="I102" s="8">
        <v>11.83</v>
      </c>
      <c r="J102" s="9">
        <f t="shared" si="11"/>
        <v>339060</v>
      </c>
      <c r="K102" s="10">
        <f t="shared" si="12"/>
        <v>308236.36363636359</v>
      </c>
      <c r="L102" s="7">
        <f t="shared" si="13"/>
        <v>284536.24</v>
      </c>
      <c r="M102" t="s">
        <v>15</v>
      </c>
    </row>
    <row r="103" spans="1:13" x14ac:dyDescent="0.3">
      <c r="A103" s="3">
        <v>46006</v>
      </c>
      <c r="B103" s="13">
        <v>8.4878</v>
      </c>
      <c r="C103" s="13">
        <v>9.5975099999999998</v>
      </c>
      <c r="D103" s="4" t="s">
        <v>17</v>
      </c>
      <c r="E103" s="5">
        <v>12000</v>
      </c>
      <c r="F103" s="6">
        <v>5000</v>
      </c>
      <c r="G103" s="7">
        <f t="shared" si="10"/>
        <v>16740.668181818182</v>
      </c>
      <c r="H103" s="8">
        <v>10.220000000000001</v>
      </c>
      <c r="I103" s="8">
        <v>12.12</v>
      </c>
      <c r="J103" s="9">
        <f t="shared" si="11"/>
        <v>183240</v>
      </c>
      <c r="K103" s="10">
        <f t="shared" si="12"/>
        <v>166581.81818181818</v>
      </c>
      <c r="L103" s="7">
        <f t="shared" si="13"/>
        <v>149841.15</v>
      </c>
      <c r="M103" t="s">
        <v>15</v>
      </c>
    </row>
    <row r="104" spans="1:13" x14ac:dyDescent="0.3">
      <c r="A104" s="3">
        <v>46006</v>
      </c>
      <c r="B104" s="13">
        <v>8.4878</v>
      </c>
      <c r="C104" s="13">
        <v>9.5975099999999998</v>
      </c>
      <c r="D104" s="4" t="s">
        <v>22</v>
      </c>
      <c r="E104" s="5">
        <v>10000</v>
      </c>
      <c r="F104" s="6">
        <v>7000</v>
      </c>
      <c r="G104" s="7">
        <f t="shared" si="10"/>
        <v>17466.702727272699</v>
      </c>
      <c r="H104" s="8">
        <v>10.220000000000001</v>
      </c>
      <c r="I104" s="8">
        <v>12.04</v>
      </c>
      <c r="J104" s="9">
        <f t="shared" si="11"/>
        <v>186480</v>
      </c>
      <c r="K104" s="10">
        <f t="shared" si="12"/>
        <v>169527.27272727271</v>
      </c>
      <c r="L104" s="7">
        <f t="shared" si="13"/>
        <v>152060.57</v>
      </c>
      <c r="M104" t="s">
        <v>15</v>
      </c>
    </row>
    <row r="105" spans="1:13" x14ac:dyDescent="0.3">
      <c r="A105" s="3">
        <v>46009</v>
      </c>
      <c r="B105" s="13">
        <f>9.25/1.1</f>
        <v>8.4090909090909083</v>
      </c>
      <c r="C105" s="13">
        <f>10.8/1.1</f>
        <v>9.8181818181818183</v>
      </c>
      <c r="D105" s="12" t="s">
        <v>27</v>
      </c>
      <c r="E105" s="5">
        <v>14000</v>
      </c>
      <c r="F105" s="6">
        <v>3000</v>
      </c>
      <c r="G105" s="7">
        <f t="shared" si="10"/>
        <v>13700</v>
      </c>
      <c r="H105" s="8">
        <v>10.02</v>
      </c>
      <c r="I105" s="8">
        <v>12.23</v>
      </c>
      <c r="J105" s="9">
        <f t="shared" si="11"/>
        <v>176970</v>
      </c>
      <c r="K105" s="10">
        <f t="shared" si="12"/>
        <v>160881.81818181818</v>
      </c>
      <c r="L105" s="7">
        <f t="shared" si="13"/>
        <v>147181.81818181818</v>
      </c>
      <c r="M105" t="s">
        <v>15</v>
      </c>
    </row>
    <row r="106" spans="1:13" x14ac:dyDescent="0.3">
      <c r="A106" s="3">
        <v>46009</v>
      </c>
      <c r="B106" s="13">
        <f t="shared" ref="B106:B107" si="14">9.25/1.1</f>
        <v>8.4090909090909083</v>
      </c>
      <c r="C106" s="13">
        <f t="shared" ref="C106:C107" si="15">10.8/1.1</f>
        <v>9.8181818181818183</v>
      </c>
      <c r="D106" s="4" t="s">
        <v>19</v>
      </c>
      <c r="E106" s="5">
        <v>18000</v>
      </c>
      <c r="F106" s="6"/>
      <c r="G106" s="7">
        <f t="shared" si="10"/>
        <v>8509.0909090909117</v>
      </c>
      <c r="H106" s="8">
        <v>9.77</v>
      </c>
      <c r="I106" s="8"/>
      <c r="J106" s="9">
        <f t="shared" si="11"/>
        <v>175860</v>
      </c>
      <c r="K106" s="10">
        <f t="shared" si="12"/>
        <v>159872.72727272726</v>
      </c>
      <c r="L106" s="7">
        <f t="shared" si="13"/>
        <v>151363.63636363635</v>
      </c>
      <c r="M106" t="s">
        <v>20</v>
      </c>
    </row>
    <row r="107" spans="1:13" x14ac:dyDescent="0.3">
      <c r="A107" s="3">
        <v>46009</v>
      </c>
      <c r="B107" s="13">
        <f t="shared" si="14"/>
        <v>8.4090909090909083</v>
      </c>
      <c r="C107" s="13">
        <f t="shared" si="15"/>
        <v>9.8181818181818183</v>
      </c>
      <c r="D107" s="4" t="s">
        <v>14</v>
      </c>
      <c r="E107" s="5">
        <v>11000</v>
      </c>
      <c r="F107" s="6">
        <v>5000</v>
      </c>
      <c r="G107" s="7">
        <f t="shared" si="10"/>
        <v>18690.909090909117</v>
      </c>
      <c r="H107" s="8">
        <v>10.46</v>
      </c>
      <c r="I107" s="8">
        <v>12.25</v>
      </c>
      <c r="J107" s="9">
        <f t="shared" si="11"/>
        <v>176310</v>
      </c>
      <c r="K107" s="10">
        <f t="shared" si="12"/>
        <v>160281.81818181818</v>
      </c>
      <c r="L107" s="7">
        <f t="shared" si="13"/>
        <v>141590.90909090906</v>
      </c>
      <c r="M107" t="s">
        <v>15</v>
      </c>
    </row>
    <row r="108" spans="1:13" x14ac:dyDescent="0.3">
      <c r="A108" s="3">
        <v>46010</v>
      </c>
      <c r="B108" s="13">
        <f>9.295/1.1</f>
        <v>8.4499999999999993</v>
      </c>
      <c r="C108" s="13">
        <f>10.5573/1.1</f>
        <v>9.5975454545454539</v>
      </c>
      <c r="D108" s="4" t="s">
        <v>33</v>
      </c>
      <c r="E108" s="5">
        <v>29000</v>
      </c>
      <c r="F108" s="6">
        <v>5000</v>
      </c>
      <c r="G108" s="7">
        <f t="shared" si="10"/>
        <v>19144.090909090941</v>
      </c>
      <c r="H108" s="8">
        <v>9.85</v>
      </c>
      <c r="I108" s="8">
        <v>11.55</v>
      </c>
      <c r="J108" s="9">
        <f t="shared" si="11"/>
        <v>343400</v>
      </c>
      <c r="K108" s="10">
        <f t="shared" si="12"/>
        <v>312181.81818181818</v>
      </c>
      <c r="L108" s="7">
        <f t="shared" si="13"/>
        <v>293037.72727272724</v>
      </c>
      <c r="M108" t="s">
        <v>15</v>
      </c>
    </row>
    <row r="109" spans="1:13" x14ac:dyDescent="0.3">
      <c r="A109" s="3">
        <v>46010</v>
      </c>
      <c r="B109" s="13">
        <f t="shared" ref="B109:B128" si="16">9.295/1.1</f>
        <v>8.4499999999999993</v>
      </c>
      <c r="C109" s="13">
        <f t="shared" ref="C109:C128" si="17">10.5573/1.1</f>
        <v>9.5975454545454539</v>
      </c>
      <c r="D109" s="4" t="s">
        <v>24</v>
      </c>
      <c r="E109" s="5">
        <f>10000-120</f>
        <v>9880</v>
      </c>
      <c r="F109" s="6">
        <f>10000-140</f>
        <v>9860</v>
      </c>
      <c r="G109" s="7">
        <f t="shared" si="10"/>
        <v>19176.383636363636</v>
      </c>
      <c r="H109" s="8">
        <v>10.11</v>
      </c>
      <c r="I109" s="8">
        <v>11.88</v>
      </c>
      <c r="J109" s="9">
        <f t="shared" si="11"/>
        <v>217023.59999999998</v>
      </c>
      <c r="K109" s="10">
        <f t="shared" si="12"/>
        <v>197294.18181818179</v>
      </c>
      <c r="L109" s="7">
        <f t="shared" si="13"/>
        <v>178117.79818181816</v>
      </c>
      <c r="M109" t="s">
        <v>15</v>
      </c>
    </row>
    <row r="110" spans="1:13" x14ac:dyDescent="0.3">
      <c r="A110" s="3">
        <v>46010</v>
      </c>
      <c r="B110" s="13">
        <f t="shared" si="16"/>
        <v>8.4499999999999993</v>
      </c>
      <c r="C110" s="13">
        <f t="shared" si="17"/>
        <v>9.5975454545454539</v>
      </c>
      <c r="D110" s="4" t="s">
        <v>23</v>
      </c>
      <c r="E110" s="5">
        <v>10000</v>
      </c>
      <c r="F110" s="6">
        <v>3000</v>
      </c>
      <c r="G110" s="7">
        <f t="shared" si="10"/>
        <v>9834.6363636363676</v>
      </c>
      <c r="H110" s="8">
        <v>10.01</v>
      </c>
      <c r="I110" s="8">
        <v>11.78</v>
      </c>
      <c r="J110" s="9">
        <f t="shared" si="11"/>
        <v>135440</v>
      </c>
      <c r="K110" s="10">
        <f t="shared" si="12"/>
        <v>123127.27272727272</v>
      </c>
      <c r="L110" s="7">
        <f t="shared" si="13"/>
        <v>113292.63636363635</v>
      </c>
      <c r="M110" t="s">
        <v>15</v>
      </c>
    </row>
    <row r="111" spans="1:13" x14ac:dyDescent="0.3">
      <c r="A111" s="3">
        <v>46011</v>
      </c>
      <c r="B111" s="13">
        <f t="shared" si="16"/>
        <v>8.4499999999999993</v>
      </c>
      <c r="C111" s="13">
        <f t="shared" si="17"/>
        <v>9.5975454545454539</v>
      </c>
      <c r="D111" s="4" t="s">
        <v>16</v>
      </c>
      <c r="E111" s="5">
        <v>29000</v>
      </c>
      <c r="F111" s="6">
        <v>4000</v>
      </c>
      <c r="G111" s="7">
        <f t="shared" si="10"/>
        <v>25705.272727272764</v>
      </c>
      <c r="H111" s="8">
        <v>10.1</v>
      </c>
      <c r="I111" s="8">
        <v>11.79</v>
      </c>
      <c r="J111" s="9">
        <f t="shared" si="11"/>
        <v>340060</v>
      </c>
      <c r="K111" s="10">
        <f t="shared" si="12"/>
        <v>309145.45454545453</v>
      </c>
      <c r="L111" s="7">
        <f t="shared" si="13"/>
        <v>283440.18181818177</v>
      </c>
      <c r="M111" t="s">
        <v>15</v>
      </c>
    </row>
    <row r="112" spans="1:13" x14ac:dyDescent="0.3">
      <c r="A112" s="3">
        <v>46013</v>
      </c>
      <c r="B112" s="13">
        <f t="shared" si="16"/>
        <v>8.4499999999999993</v>
      </c>
      <c r="C112" s="13">
        <f t="shared" si="17"/>
        <v>9.5975454545454539</v>
      </c>
      <c r="D112" s="4" t="s">
        <v>14</v>
      </c>
      <c r="E112" s="5">
        <v>30000</v>
      </c>
      <c r="F112" s="6">
        <v>4000</v>
      </c>
      <c r="G112" s="7">
        <f t="shared" si="10"/>
        <v>37928</v>
      </c>
      <c r="H112" s="8">
        <v>10.46</v>
      </c>
      <c r="I112" s="8">
        <v>12.25</v>
      </c>
      <c r="J112" s="9">
        <f t="shared" si="11"/>
        <v>362800</v>
      </c>
      <c r="K112" s="10">
        <f t="shared" si="12"/>
        <v>329818.18181818177</v>
      </c>
      <c r="L112" s="7">
        <f t="shared" si="13"/>
        <v>291890.18181818177</v>
      </c>
      <c r="M112" t="s">
        <v>15</v>
      </c>
    </row>
    <row r="113" spans="1:13" x14ac:dyDescent="0.3">
      <c r="A113" s="3">
        <v>46013</v>
      </c>
      <c r="B113" s="13">
        <f t="shared" si="16"/>
        <v>8.4499999999999993</v>
      </c>
      <c r="C113" s="13">
        <f t="shared" si="17"/>
        <v>9.5975454545454539</v>
      </c>
      <c r="D113" s="4" t="s">
        <v>34</v>
      </c>
      <c r="E113" s="5">
        <v>10000</v>
      </c>
      <c r="F113" s="5"/>
      <c r="G113" s="7">
        <f t="shared" si="10"/>
        <v>409.09090909089718</v>
      </c>
      <c r="H113" s="8">
        <v>9.34</v>
      </c>
      <c r="I113" s="8"/>
      <c r="J113" s="9">
        <f t="shared" si="11"/>
        <v>93400</v>
      </c>
      <c r="K113" s="10">
        <f t="shared" si="12"/>
        <v>84909.090909090897</v>
      </c>
      <c r="L113" s="7">
        <f t="shared" si="13"/>
        <v>84500</v>
      </c>
      <c r="M113" t="s">
        <v>13</v>
      </c>
    </row>
    <row r="114" spans="1:13" x14ac:dyDescent="0.3">
      <c r="A114" s="3">
        <v>46014</v>
      </c>
      <c r="B114" s="13">
        <f t="shared" si="16"/>
        <v>8.4499999999999993</v>
      </c>
      <c r="C114" s="13">
        <f t="shared" si="17"/>
        <v>9.5975454545454539</v>
      </c>
      <c r="D114" s="4" t="s">
        <v>25</v>
      </c>
      <c r="E114" s="5">
        <v>33000</v>
      </c>
      <c r="F114" s="6"/>
      <c r="G114" s="7">
        <f t="shared" si="10"/>
        <v>2250</v>
      </c>
      <c r="H114" s="8">
        <v>9.3699999999999992</v>
      </c>
      <c r="I114" s="8"/>
      <c r="J114" s="9">
        <f t="shared" si="11"/>
        <v>309210</v>
      </c>
      <c r="K114" s="10">
        <f t="shared" si="12"/>
        <v>281100</v>
      </c>
      <c r="L114" s="7">
        <f t="shared" si="13"/>
        <v>278850</v>
      </c>
      <c r="M114" t="s">
        <v>13</v>
      </c>
    </row>
    <row r="115" spans="1:13" x14ac:dyDescent="0.3">
      <c r="A115" s="3">
        <v>46015</v>
      </c>
      <c r="B115" s="13">
        <f t="shared" si="16"/>
        <v>8.4499999999999993</v>
      </c>
      <c r="C115" s="13">
        <f t="shared" si="17"/>
        <v>9.5975454545454539</v>
      </c>
      <c r="D115" s="4" t="s">
        <v>26</v>
      </c>
      <c r="E115" s="5">
        <v>33000</v>
      </c>
      <c r="F115" s="6"/>
      <c r="G115" s="7">
        <f t="shared" si="10"/>
        <v>1350</v>
      </c>
      <c r="H115" s="8">
        <v>9.34</v>
      </c>
      <c r="I115" s="8"/>
      <c r="J115" s="9">
        <f t="shared" si="11"/>
        <v>308220</v>
      </c>
      <c r="K115" s="10">
        <f t="shared" si="12"/>
        <v>280200</v>
      </c>
      <c r="L115" s="7">
        <f t="shared" si="13"/>
        <v>278850</v>
      </c>
      <c r="M115" t="s">
        <v>13</v>
      </c>
    </row>
    <row r="116" spans="1:13" x14ac:dyDescent="0.3">
      <c r="A116" s="3">
        <v>46016</v>
      </c>
      <c r="B116" s="13">
        <f t="shared" si="16"/>
        <v>8.4499999999999993</v>
      </c>
      <c r="C116" s="13">
        <f t="shared" si="17"/>
        <v>9.5975454545454539</v>
      </c>
      <c r="D116" s="4" t="s">
        <v>21</v>
      </c>
      <c r="E116" s="5">
        <v>28000</v>
      </c>
      <c r="F116" s="6">
        <v>6000</v>
      </c>
      <c r="G116" s="7">
        <f t="shared" si="10"/>
        <v>24051.090909090883</v>
      </c>
      <c r="H116" s="8">
        <v>9.9499999999999993</v>
      </c>
      <c r="I116" s="8">
        <v>11.91</v>
      </c>
      <c r="J116" s="9">
        <f t="shared" si="11"/>
        <v>350060</v>
      </c>
      <c r="K116" s="10">
        <f t="shared" si="12"/>
        <v>318236.36363636359</v>
      </c>
      <c r="L116" s="7">
        <f t="shared" si="13"/>
        <v>294185.27272727271</v>
      </c>
      <c r="M116" t="s">
        <v>15</v>
      </c>
    </row>
    <row r="117" spans="1:13" x14ac:dyDescent="0.3">
      <c r="A117" s="3">
        <v>46016</v>
      </c>
      <c r="B117" s="13">
        <f t="shared" si="16"/>
        <v>8.4499999999999993</v>
      </c>
      <c r="C117" s="13">
        <f t="shared" si="17"/>
        <v>9.5975454545454539</v>
      </c>
      <c r="D117" s="4" t="s">
        <v>26</v>
      </c>
      <c r="E117" s="5">
        <v>33000</v>
      </c>
      <c r="F117" s="6"/>
      <c r="G117" s="7">
        <f t="shared" si="10"/>
        <v>1350</v>
      </c>
      <c r="H117" s="8">
        <v>9.34</v>
      </c>
      <c r="I117" s="8"/>
      <c r="J117" s="9">
        <f t="shared" si="11"/>
        <v>308220</v>
      </c>
      <c r="K117" s="10">
        <f t="shared" si="12"/>
        <v>280200</v>
      </c>
      <c r="L117" s="7">
        <f t="shared" si="13"/>
        <v>278850</v>
      </c>
      <c r="M117" t="s">
        <v>13</v>
      </c>
    </row>
    <row r="118" spans="1:13" x14ac:dyDescent="0.3">
      <c r="A118" s="3">
        <v>46017</v>
      </c>
      <c r="B118" s="13">
        <f t="shared" si="16"/>
        <v>8.4499999999999993</v>
      </c>
      <c r="C118" s="13">
        <f t="shared" si="17"/>
        <v>9.5975454545454539</v>
      </c>
      <c r="D118" s="4" t="s">
        <v>18</v>
      </c>
      <c r="E118" s="5">
        <v>29000</v>
      </c>
      <c r="F118" s="6">
        <v>4000</v>
      </c>
      <c r="G118" s="7">
        <f t="shared" si="10"/>
        <v>14296.181818181823</v>
      </c>
      <c r="H118" s="8">
        <v>9.7100000000000009</v>
      </c>
      <c r="I118" s="8">
        <v>11.48</v>
      </c>
      <c r="J118" s="9">
        <f t="shared" si="11"/>
        <v>327510</v>
      </c>
      <c r="K118" s="10">
        <f t="shared" si="12"/>
        <v>297736.36363636359</v>
      </c>
      <c r="L118" s="7">
        <f t="shared" si="13"/>
        <v>283440.18181818177</v>
      </c>
      <c r="M118" t="s">
        <v>15</v>
      </c>
    </row>
    <row r="119" spans="1:13" x14ac:dyDescent="0.3">
      <c r="A119" s="3">
        <v>46017</v>
      </c>
      <c r="B119" s="13">
        <f t="shared" si="16"/>
        <v>8.4499999999999993</v>
      </c>
      <c r="C119" s="13">
        <f t="shared" si="17"/>
        <v>9.5975454545454539</v>
      </c>
      <c r="D119" s="4" t="s">
        <v>26</v>
      </c>
      <c r="E119" s="5">
        <v>33000</v>
      </c>
      <c r="F119" s="6"/>
      <c r="G119" s="7">
        <f t="shared" si="10"/>
        <v>1350</v>
      </c>
      <c r="H119" s="8">
        <v>9.34</v>
      </c>
      <c r="I119" s="8"/>
      <c r="J119" s="9">
        <f t="shared" si="11"/>
        <v>308220</v>
      </c>
      <c r="K119" s="10">
        <f t="shared" si="12"/>
        <v>280200</v>
      </c>
      <c r="L119" s="7">
        <f t="shared" si="13"/>
        <v>278850</v>
      </c>
      <c r="M119" t="s">
        <v>13</v>
      </c>
    </row>
    <row r="120" spans="1:13" x14ac:dyDescent="0.3">
      <c r="A120" s="3">
        <v>46018</v>
      </c>
      <c r="B120" s="13">
        <f t="shared" si="16"/>
        <v>8.4499999999999993</v>
      </c>
      <c r="C120" s="13">
        <f t="shared" si="17"/>
        <v>9.5975454545454539</v>
      </c>
      <c r="D120" s="4" t="s">
        <v>33</v>
      </c>
      <c r="E120" s="5">
        <v>29000</v>
      </c>
      <c r="F120" s="6">
        <v>5000</v>
      </c>
      <c r="G120" s="7">
        <f t="shared" si="10"/>
        <v>19144.090909090941</v>
      </c>
      <c r="H120" s="8">
        <v>9.85</v>
      </c>
      <c r="I120" s="8">
        <v>11.55</v>
      </c>
      <c r="J120" s="9">
        <f t="shared" si="11"/>
        <v>343400</v>
      </c>
      <c r="K120" s="10">
        <f t="shared" si="12"/>
        <v>312181.81818181818</v>
      </c>
      <c r="L120" s="7">
        <f t="shared" si="13"/>
        <v>293037.72727272724</v>
      </c>
      <c r="M120" t="s">
        <v>15</v>
      </c>
    </row>
    <row r="121" spans="1:13" x14ac:dyDescent="0.3">
      <c r="A121" s="3">
        <v>46018</v>
      </c>
      <c r="B121" s="13">
        <f t="shared" si="16"/>
        <v>8.4499999999999993</v>
      </c>
      <c r="C121" s="13">
        <f t="shared" si="17"/>
        <v>9.5975454545454539</v>
      </c>
      <c r="D121" s="4" t="s">
        <v>26</v>
      </c>
      <c r="E121" s="5">
        <v>33000</v>
      </c>
      <c r="F121" s="6"/>
      <c r="G121" s="7">
        <f t="shared" si="10"/>
        <v>1350</v>
      </c>
      <c r="H121" s="8">
        <v>9.34</v>
      </c>
      <c r="I121" s="8"/>
      <c r="J121" s="9">
        <f t="shared" si="11"/>
        <v>308220</v>
      </c>
      <c r="K121" s="10">
        <f t="shared" si="12"/>
        <v>280200</v>
      </c>
      <c r="L121" s="7">
        <f t="shared" si="13"/>
        <v>278850</v>
      </c>
      <c r="M121" t="s">
        <v>13</v>
      </c>
    </row>
    <row r="122" spans="1:13" x14ac:dyDescent="0.3">
      <c r="A122" s="3">
        <v>46020</v>
      </c>
      <c r="B122" s="13">
        <f t="shared" si="16"/>
        <v>8.4499999999999993</v>
      </c>
      <c r="C122" s="13">
        <f t="shared" si="17"/>
        <v>9.5975454545454539</v>
      </c>
      <c r="D122" s="4" t="s">
        <v>14</v>
      </c>
      <c r="E122" s="5">
        <v>18000</v>
      </c>
      <c r="F122" s="6"/>
      <c r="G122" s="7">
        <f t="shared" si="10"/>
        <v>19063.636363636382</v>
      </c>
      <c r="H122" s="8">
        <v>10.46</v>
      </c>
      <c r="I122" s="8">
        <v>12.25</v>
      </c>
      <c r="J122" s="9">
        <f t="shared" si="11"/>
        <v>188280.00000000003</v>
      </c>
      <c r="K122" s="10">
        <f t="shared" si="12"/>
        <v>171163.63636363638</v>
      </c>
      <c r="L122" s="7">
        <f t="shared" si="13"/>
        <v>152100</v>
      </c>
      <c r="M122" t="s">
        <v>15</v>
      </c>
    </row>
    <row r="123" spans="1:13" x14ac:dyDescent="0.3">
      <c r="A123" s="3">
        <v>46020</v>
      </c>
      <c r="B123" s="13">
        <f t="shared" si="16"/>
        <v>8.4499999999999993</v>
      </c>
      <c r="C123" s="13">
        <f t="shared" si="17"/>
        <v>9.5975454545454539</v>
      </c>
      <c r="D123" s="4" t="s">
        <v>17</v>
      </c>
      <c r="E123" s="5">
        <v>9000</v>
      </c>
      <c r="F123" s="6">
        <v>6000</v>
      </c>
      <c r="G123" s="7">
        <f t="shared" si="10"/>
        <v>11319.272727272735</v>
      </c>
      <c r="H123" s="8">
        <v>9.8699999999999992</v>
      </c>
      <c r="I123" s="8">
        <v>11.77</v>
      </c>
      <c r="J123" s="9">
        <f t="shared" si="11"/>
        <v>159450</v>
      </c>
      <c r="K123" s="10">
        <f t="shared" si="12"/>
        <v>144954.54545454544</v>
      </c>
      <c r="L123" s="7">
        <f t="shared" si="13"/>
        <v>133635.27272727271</v>
      </c>
      <c r="M123" t="s">
        <v>15</v>
      </c>
    </row>
    <row r="124" spans="1:13" x14ac:dyDescent="0.3">
      <c r="A124" s="3">
        <v>46020</v>
      </c>
      <c r="B124" s="13">
        <f t="shared" si="16"/>
        <v>8.4499999999999993</v>
      </c>
      <c r="C124" s="13">
        <f t="shared" si="17"/>
        <v>9.5975454545454539</v>
      </c>
      <c r="D124" s="4" t="s">
        <v>16</v>
      </c>
      <c r="E124" s="5">
        <v>20000</v>
      </c>
      <c r="F124" s="6">
        <v>4000</v>
      </c>
      <c r="G124" s="7">
        <f t="shared" si="10"/>
        <v>19118.909090909059</v>
      </c>
      <c r="H124" s="8">
        <v>10.1</v>
      </c>
      <c r="I124" s="8">
        <v>11.79</v>
      </c>
      <c r="J124" s="9">
        <f t="shared" si="11"/>
        <v>249160</v>
      </c>
      <c r="K124" s="10">
        <f t="shared" si="12"/>
        <v>226509.09090909088</v>
      </c>
      <c r="L124" s="7">
        <f t="shared" si="13"/>
        <v>207390.18181818182</v>
      </c>
      <c r="M124" t="s">
        <v>15</v>
      </c>
    </row>
    <row r="125" spans="1:13" x14ac:dyDescent="0.3">
      <c r="A125" s="3">
        <v>46020</v>
      </c>
      <c r="B125" s="13">
        <f t="shared" si="16"/>
        <v>8.4499999999999993</v>
      </c>
      <c r="C125" s="13">
        <f t="shared" si="17"/>
        <v>9.5975454545454539</v>
      </c>
      <c r="D125" s="4" t="s">
        <v>14</v>
      </c>
      <c r="E125" s="5">
        <v>9000</v>
      </c>
      <c r="F125" s="6"/>
      <c r="G125" s="7">
        <f t="shared" si="10"/>
        <v>9531.8181818181911</v>
      </c>
      <c r="H125" s="8">
        <v>10.46</v>
      </c>
      <c r="I125" s="8">
        <v>12.25</v>
      </c>
      <c r="J125" s="9">
        <f t="shared" si="11"/>
        <v>94140.000000000015</v>
      </c>
      <c r="K125" s="10">
        <f t="shared" si="12"/>
        <v>85581.818181818191</v>
      </c>
      <c r="L125" s="7">
        <f t="shared" si="13"/>
        <v>76050</v>
      </c>
      <c r="M125" t="s">
        <v>15</v>
      </c>
    </row>
    <row r="126" spans="1:13" x14ac:dyDescent="0.3">
      <c r="A126" s="3">
        <v>46020</v>
      </c>
      <c r="B126" s="13">
        <f t="shared" si="16"/>
        <v>8.4499999999999993</v>
      </c>
      <c r="C126" s="13">
        <f t="shared" si="17"/>
        <v>9.5975454545454539</v>
      </c>
      <c r="D126" s="4" t="s">
        <v>26</v>
      </c>
      <c r="E126" s="5">
        <v>10000</v>
      </c>
      <c r="F126" s="6"/>
      <c r="G126" s="7">
        <f t="shared" si="10"/>
        <v>409.09090909089718</v>
      </c>
      <c r="H126" s="8">
        <v>9.34</v>
      </c>
      <c r="I126" s="8"/>
      <c r="J126" s="9">
        <f t="shared" si="11"/>
        <v>93400</v>
      </c>
      <c r="K126" s="10">
        <f t="shared" si="12"/>
        <v>84909.090909090897</v>
      </c>
      <c r="L126" s="7">
        <f t="shared" si="13"/>
        <v>84500</v>
      </c>
      <c r="M126" t="s">
        <v>13</v>
      </c>
    </row>
    <row r="127" spans="1:13" x14ac:dyDescent="0.3">
      <c r="A127" s="3">
        <v>46021</v>
      </c>
      <c r="B127" s="13">
        <f t="shared" si="16"/>
        <v>8.4499999999999993</v>
      </c>
      <c r="C127" s="13">
        <f t="shared" si="17"/>
        <v>9.5975454545454539</v>
      </c>
      <c r="D127" s="4" t="s">
        <v>19</v>
      </c>
      <c r="E127" s="5">
        <v>5000</v>
      </c>
      <c r="F127" s="6"/>
      <c r="G127" s="7">
        <f t="shared" si="10"/>
        <v>2159.0909090909045</v>
      </c>
      <c r="H127" s="8">
        <v>9.77</v>
      </c>
      <c r="I127" s="8"/>
      <c r="J127" s="9">
        <f t="shared" si="11"/>
        <v>48850</v>
      </c>
      <c r="K127" s="10">
        <f t="shared" si="12"/>
        <v>44409.090909090904</v>
      </c>
      <c r="L127" s="7">
        <f t="shared" si="13"/>
        <v>42250</v>
      </c>
      <c r="M127" t="s">
        <v>20</v>
      </c>
    </row>
    <row r="128" spans="1:13" x14ac:dyDescent="0.3">
      <c r="A128" s="3">
        <v>46021</v>
      </c>
      <c r="B128" s="13">
        <f t="shared" si="16"/>
        <v>8.4499999999999993</v>
      </c>
      <c r="C128" s="13">
        <f t="shared" si="17"/>
        <v>9.5975454545454539</v>
      </c>
      <c r="D128" s="4" t="s">
        <v>25</v>
      </c>
      <c r="E128" s="5">
        <v>15000</v>
      </c>
      <c r="F128" s="6"/>
      <c r="G128" s="7">
        <f t="shared" si="10"/>
        <v>1022.7272727272793</v>
      </c>
      <c r="H128" s="8">
        <v>9.3699999999999992</v>
      </c>
      <c r="I128" s="8"/>
      <c r="J128" s="9">
        <f t="shared" si="11"/>
        <v>140550</v>
      </c>
      <c r="K128" s="10">
        <f t="shared" si="12"/>
        <v>127772.72727272726</v>
      </c>
      <c r="L128" s="7">
        <f t="shared" si="13"/>
        <v>126749.99999999999</v>
      </c>
      <c r="M128" t="s">
        <v>13</v>
      </c>
    </row>
  </sheetData>
  <pageMargins left="0.70866141732283472" right="0.70866141732283472" top="0.74803149606299213" bottom="0.74803149606299213" header="0.31496062992125984" footer="0.31496062992125984"/>
  <pageSetup scale="73" orientation="landscape" r:id="rId1"/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VENTE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zakaria marzouk</dc:creator>
  <cp:lastModifiedBy>Yassine selmane</cp:lastModifiedBy>
  <dcterms:created xsi:type="dcterms:W3CDTF">2026-01-05T13:55:29Z</dcterms:created>
  <dcterms:modified xsi:type="dcterms:W3CDTF">2026-05-11T10:06:49Z</dcterms:modified>
</cp:coreProperties>
</file>