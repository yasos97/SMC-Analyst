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ine\OneDrive\Apps\Desktop\"/>
    </mc:Choice>
  </mc:AlternateContent>
  <xr:revisionPtr revIDLastSave="0" documentId="8_{B2BFF2D2-21AB-4AB6-B0A7-9088AC5B8B97}" xr6:coauthVersionLast="47" xr6:coauthVersionMax="47" xr10:uidLastSave="{00000000-0000-0000-0000-000000000000}"/>
  <bookViews>
    <workbookView xWindow="-108" yWindow="-108" windowWidth="23256" windowHeight="12456" xr2:uid="{9E444319-4849-4FF8-966D-2A7B53A22AB8}"/>
  </bookViews>
  <sheets>
    <sheet name="VENTE 2024" sheetId="1" r:id="rId1"/>
  </sheets>
  <definedNames>
    <definedName name="_xlnm._FilterDatabase" localSheetId="0" hidden="1">'VENTE 2024'!$A$1:$Q$917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17" i="1" l="1"/>
  <c r="O917" i="1"/>
  <c r="K917" i="1" s="1"/>
  <c r="N917" i="1"/>
  <c r="P916" i="1"/>
  <c r="N916" i="1"/>
  <c r="O916" i="1" s="1"/>
  <c r="K916" i="1" s="1"/>
  <c r="P915" i="1"/>
  <c r="O915" i="1"/>
  <c r="N915" i="1"/>
  <c r="K915" i="1"/>
  <c r="P914" i="1"/>
  <c r="O914" i="1"/>
  <c r="N914" i="1"/>
  <c r="K914" i="1"/>
  <c r="P913" i="1"/>
  <c r="O913" i="1"/>
  <c r="N913" i="1"/>
  <c r="K913" i="1"/>
  <c r="P912" i="1"/>
  <c r="O912" i="1"/>
  <c r="N912" i="1"/>
  <c r="K912" i="1"/>
  <c r="P911" i="1"/>
  <c r="O911" i="1"/>
  <c r="N911" i="1"/>
  <c r="K911" i="1"/>
  <c r="P910" i="1"/>
  <c r="O910" i="1"/>
  <c r="N910" i="1"/>
  <c r="K910" i="1"/>
  <c r="P909" i="1"/>
  <c r="O909" i="1"/>
  <c r="N909" i="1"/>
  <c r="K909" i="1"/>
  <c r="P908" i="1"/>
  <c r="O908" i="1"/>
  <c r="N908" i="1"/>
  <c r="K908" i="1"/>
  <c r="P907" i="1"/>
  <c r="O907" i="1"/>
  <c r="N907" i="1"/>
  <c r="K907" i="1"/>
  <c r="P906" i="1"/>
  <c r="O906" i="1"/>
  <c r="N906" i="1"/>
  <c r="K906" i="1"/>
  <c r="P905" i="1"/>
  <c r="O905" i="1"/>
  <c r="N905" i="1"/>
  <c r="K905" i="1"/>
  <c r="P904" i="1"/>
  <c r="O904" i="1"/>
  <c r="N904" i="1"/>
  <c r="K904" i="1"/>
  <c r="P903" i="1"/>
  <c r="O903" i="1"/>
  <c r="N903" i="1"/>
  <c r="K903" i="1"/>
  <c r="P902" i="1"/>
  <c r="O902" i="1"/>
  <c r="N902" i="1"/>
  <c r="K902" i="1"/>
  <c r="P901" i="1"/>
  <c r="O901" i="1"/>
  <c r="N901" i="1"/>
  <c r="K901" i="1"/>
  <c r="P900" i="1"/>
  <c r="O900" i="1"/>
  <c r="N900" i="1"/>
  <c r="K900" i="1"/>
  <c r="P899" i="1"/>
  <c r="O899" i="1"/>
  <c r="N899" i="1"/>
  <c r="K899" i="1"/>
  <c r="P898" i="1"/>
  <c r="O898" i="1"/>
  <c r="N898" i="1"/>
  <c r="K898" i="1"/>
  <c r="P897" i="1"/>
  <c r="O897" i="1"/>
  <c r="N897" i="1"/>
  <c r="K897" i="1"/>
  <c r="P896" i="1"/>
  <c r="O896" i="1"/>
  <c r="N896" i="1"/>
  <c r="K896" i="1"/>
  <c r="P895" i="1"/>
  <c r="O895" i="1"/>
  <c r="N895" i="1"/>
  <c r="K895" i="1"/>
  <c r="P894" i="1"/>
  <c r="O894" i="1"/>
  <c r="N894" i="1"/>
  <c r="K894" i="1"/>
  <c r="P893" i="1"/>
  <c r="O893" i="1"/>
  <c r="N893" i="1"/>
  <c r="K893" i="1"/>
  <c r="P892" i="1"/>
  <c r="O892" i="1"/>
  <c r="N892" i="1"/>
  <c r="K892" i="1"/>
  <c r="P891" i="1"/>
  <c r="O891" i="1"/>
  <c r="N891" i="1"/>
  <c r="K891" i="1"/>
  <c r="P890" i="1"/>
  <c r="O890" i="1"/>
  <c r="N890" i="1"/>
  <c r="K890" i="1"/>
  <c r="P889" i="1"/>
  <c r="O889" i="1"/>
  <c r="N889" i="1"/>
  <c r="K889" i="1"/>
  <c r="P888" i="1"/>
  <c r="O888" i="1"/>
  <c r="N888" i="1"/>
  <c r="K888" i="1"/>
  <c r="P887" i="1"/>
  <c r="O887" i="1"/>
  <c r="N887" i="1"/>
  <c r="K887" i="1"/>
  <c r="P886" i="1"/>
  <c r="O886" i="1"/>
  <c r="N886" i="1"/>
  <c r="K886" i="1"/>
  <c r="P885" i="1"/>
  <c r="O885" i="1"/>
  <c r="N885" i="1"/>
  <c r="K885" i="1"/>
  <c r="P884" i="1"/>
  <c r="O884" i="1"/>
  <c r="N884" i="1"/>
  <c r="K884" i="1"/>
  <c r="P883" i="1"/>
  <c r="O883" i="1"/>
  <c r="N883" i="1"/>
  <c r="K883" i="1"/>
  <c r="P882" i="1"/>
  <c r="O882" i="1"/>
  <c r="N882" i="1"/>
  <c r="K882" i="1"/>
  <c r="P881" i="1"/>
  <c r="O881" i="1"/>
  <c r="N881" i="1"/>
  <c r="K881" i="1"/>
  <c r="P880" i="1"/>
  <c r="O880" i="1"/>
  <c r="N880" i="1"/>
  <c r="K880" i="1"/>
  <c r="P879" i="1"/>
  <c r="O879" i="1"/>
  <c r="N879" i="1"/>
  <c r="K879" i="1"/>
  <c r="P878" i="1"/>
  <c r="O878" i="1"/>
  <c r="N878" i="1"/>
  <c r="K878" i="1"/>
  <c r="P877" i="1"/>
  <c r="O877" i="1"/>
  <c r="N877" i="1"/>
  <c r="K877" i="1"/>
  <c r="P876" i="1"/>
  <c r="O876" i="1"/>
  <c r="N876" i="1"/>
  <c r="K876" i="1"/>
  <c r="P875" i="1"/>
  <c r="O875" i="1"/>
  <c r="N875" i="1"/>
  <c r="K875" i="1"/>
  <c r="P874" i="1"/>
  <c r="O874" i="1"/>
  <c r="N874" i="1"/>
  <c r="K874" i="1"/>
  <c r="P873" i="1"/>
  <c r="O873" i="1"/>
  <c r="N873" i="1"/>
  <c r="K873" i="1"/>
  <c r="P872" i="1"/>
  <c r="O872" i="1"/>
  <c r="N872" i="1"/>
  <c r="K872" i="1"/>
  <c r="P871" i="1"/>
  <c r="O871" i="1"/>
  <c r="N871" i="1"/>
  <c r="K871" i="1"/>
  <c r="P870" i="1"/>
  <c r="O870" i="1"/>
  <c r="N870" i="1"/>
  <c r="K870" i="1"/>
  <c r="P869" i="1"/>
  <c r="O869" i="1"/>
  <c r="N869" i="1"/>
  <c r="K869" i="1"/>
  <c r="P868" i="1"/>
  <c r="O868" i="1"/>
  <c r="N868" i="1"/>
  <c r="K868" i="1"/>
  <c r="P867" i="1"/>
  <c r="O867" i="1"/>
  <c r="N867" i="1"/>
  <c r="K867" i="1"/>
  <c r="P866" i="1"/>
  <c r="O866" i="1"/>
  <c r="N866" i="1"/>
  <c r="K866" i="1"/>
  <c r="P865" i="1"/>
  <c r="O865" i="1"/>
  <c r="N865" i="1"/>
  <c r="K865" i="1"/>
  <c r="P864" i="1"/>
  <c r="O864" i="1"/>
  <c r="N864" i="1"/>
  <c r="K864" i="1"/>
  <c r="P863" i="1"/>
  <c r="O863" i="1"/>
  <c r="N863" i="1"/>
  <c r="K863" i="1"/>
  <c r="P862" i="1"/>
  <c r="O862" i="1"/>
  <c r="N862" i="1"/>
  <c r="K862" i="1"/>
  <c r="P861" i="1"/>
  <c r="O861" i="1"/>
  <c r="N861" i="1"/>
  <c r="K861" i="1"/>
  <c r="P860" i="1"/>
  <c r="O860" i="1"/>
  <c r="N860" i="1"/>
  <c r="K860" i="1"/>
  <c r="P859" i="1"/>
  <c r="O859" i="1"/>
  <c r="N859" i="1"/>
  <c r="K859" i="1"/>
  <c r="P858" i="1"/>
  <c r="O858" i="1"/>
  <c r="N858" i="1"/>
  <c r="K858" i="1"/>
  <c r="P857" i="1"/>
  <c r="O857" i="1"/>
  <c r="N857" i="1"/>
  <c r="K857" i="1"/>
  <c r="P856" i="1"/>
  <c r="O856" i="1"/>
  <c r="N856" i="1"/>
  <c r="K856" i="1"/>
  <c r="P855" i="1"/>
  <c r="O855" i="1"/>
  <c r="N855" i="1"/>
  <c r="K855" i="1"/>
  <c r="P854" i="1"/>
  <c r="O854" i="1"/>
  <c r="N854" i="1"/>
  <c r="K854" i="1"/>
  <c r="P853" i="1"/>
  <c r="O853" i="1"/>
  <c r="N853" i="1"/>
  <c r="K853" i="1"/>
  <c r="P852" i="1"/>
  <c r="O852" i="1"/>
  <c r="N852" i="1"/>
  <c r="K852" i="1"/>
  <c r="P851" i="1"/>
  <c r="O851" i="1"/>
  <c r="N851" i="1"/>
  <c r="K851" i="1"/>
  <c r="P850" i="1"/>
  <c r="O850" i="1"/>
  <c r="N850" i="1"/>
  <c r="K850" i="1"/>
  <c r="P849" i="1"/>
  <c r="O849" i="1"/>
  <c r="N849" i="1"/>
  <c r="K849" i="1"/>
  <c r="P848" i="1"/>
  <c r="O848" i="1"/>
  <c r="N848" i="1"/>
  <c r="K848" i="1"/>
  <c r="P847" i="1"/>
  <c r="O847" i="1"/>
  <c r="N847" i="1"/>
  <c r="K847" i="1"/>
  <c r="P846" i="1"/>
  <c r="O846" i="1"/>
  <c r="N846" i="1"/>
  <c r="K846" i="1"/>
  <c r="P845" i="1"/>
  <c r="O845" i="1"/>
  <c r="N845" i="1"/>
  <c r="K845" i="1"/>
  <c r="P844" i="1"/>
  <c r="O844" i="1"/>
  <c r="N844" i="1"/>
  <c r="K844" i="1"/>
  <c r="P843" i="1"/>
  <c r="O843" i="1"/>
  <c r="N843" i="1"/>
  <c r="K843" i="1"/>
  <c r="P842" i="1"/>
  <c r="O842" i="1"/>
  <c r="N842" i="1"/>
  <c r="K842" i="1"/>
  <c r="P841" i="1"/>
  <c r="O841" i="1"/>
  <c r="N841" i="1"/>
  <c r="K841" i="1"/>
  <c r="P840" i="1"/>
  <c r="O840" i="1"/>
  <c r="N840" i="1"/>
  <c r="K840" i="1"/>
  <c r="P839" i="1"/>
  <c r="O839" i="1"/>
  <c r="N839" i="1"/>
  <c r="K839" i="1"/>
  <c r="P838" i="1"/>
  <c r="O838" i="1"/>
  <c r="N838" i="1"/>
  <c r="K838" i="1"/>
  <c r="P837" i="1"/>
  <c r="O837" i="1"/>
  <c r="N837" i="1"/>
  <c r="K837" i="1"/>
  <c r="P836" i="1"/>
  <c r="O836" i="1"/>
  <c r="N836" i="1"/>
  <c r="K836" i="1"/>
  <c r="O835" i="1"/>
  <c r="N835" i="1"/>
  <c r="C835" i="1"/>
  <c r="P835" i="1" s="1"/>
  <c r="K835" i="1" s="1"/>
  <c r="P834" i="1"/>
  <c r="N834" i="1"/>
  <c r="O834" i="1" s="1"/>
  <c r="K834" i="1" s="1"/>
  <c r="P833" i="1"/>
  <c r="N833" i="1"/>
  <c r="O833" i="1" s="1"/>
  <c r="K833" i="1" s="1"/>
  <c r="P832" i="1"/>
  <c r="N832" i="1"/>
  <c r="O832" i="1" s="1"/>
  <c r="K832" i="1" s="1"/>
  <c r="P831" i="1"/>
  <c r="N831" i="1"/>
  <c r="O831" i="1" s="1"/>
  <c r="K831" i="1" s="1"/>
  <c r="P830" i="1"/>
  <c r="N830" i="1"/>
  <c r="O830" i="1" s="1"/>
  <c r="K830" i="1" s="1"/>
  <c r="P829" i="1"/>
  <c r="N829" i="1"/>
  <c r="O829" i="1" s="1"/>
  <c r="K829" i="1" s="1"/>
  <c r="P828" i="1"/>
  <c r="N828" i="1"/>
  <c r="O828" i="1" s="1"/>
  <c r="K828" i="1" s="1"/>
  <c r="P827" i="1"/>
  <c r="N827" i="1"/>
  <c r="O827" i="1" s="1"/>
  <c r="K827" i="1" s="1"/>
  <c r="P826" i="1"/>
  <c r="N826" i="1"/>
  <c r="O826" i="1" s="1"/>
  <c r="K826" i="1" s="1"/>
  <c r="P825" i="1"/>
  <c r="N825" i="1"/>
  <c r="O825" i="1" s="1"/>
  <c r="K825" i="1" s="1"/>
  <c r="P824" i="1"/>
  <c r="N824" i="1"/>
  <c r="O824" i="1" s="1"/>
  <c r="K824" i="1" s="1"/>
  <c r="P823" i="1"/>
  <c r="N823" i="1"/>
  <c r="O823" i="1" s="1"/>
  <c r="K823" i="1" s="1"/>
  <c r="P822" i="1"/>
  <c r="N822" i="1"/>
  <c r="O822" i="1" s="1"/>
  <c r="K822" i="1" s="1"/>
  <c r="P821" i="1"/>
  <c r="N821" i="1"/>
  <c r="O821" i="1" s="1"/>
  <c r="K821" i="1" s="1"/>
  <c r="P820" i="1"/>
  <c r="N820" i="1"/>
  <c r="O820" i="1" s="1"/>
  <c r="K820" i="1" s="1"/>
  <c r="P819" i="1"/>
  <c r="N819" i="1"/>
  <c r="O819" i="1" s="1"/>
  <c r="K819" i="1" s="1"/>
  <c r="P818" i="1"/>
  <c r="N818" i="1"/>
  <c r="O818" i="1" s="1"/>
  <c r="K818" i="1" s="1"/>
  <c r="P817" i="1"/>
  <c r="N817" i="1"/>
  <c r="O817" i="1" s="1"/>
  <c r="K817" i="1" s="1"/>
  <c r="P816" i="1"/>
  <c r="N816" i="1"/>
  <c r="O816" i="1" s="1"/>
  <c r="K816" i="1" s="1"/>
  <c r="N815" i="1"/>
  <c r="O815" i="1" s="1"/>
  <c r="C815" i="1"/>
  <c r="P815" i="1" s="1"/>
  <c r="O814" i="1"/>
  <c r="N814" i="1"/>
  <c r="C814" i="1"/>
  <c r="P814" i="1" s="1"/>
  <c r="P813" i="1"/>
  <c r="O813" i="1"/>
  <c r="K813" i="1" s="1"/>
  <c r="N813" i="1"/>
  <c r="P812" i="1"/>
  <c r="N812" i="1"/>
  <c r="O812" i="1" s="1"/>
  <c r="K812" i="1" s="1"/>
  <c r="P811" i="1"/>
  <c r="O811" i="1"/>
  <c r="K811" i="1" s="1"/>
  <c r="N811" i="1"/>
  <c r="P810" i="1"/>
  <c r="N810" i="1"/>
  <c r="O810" i="1" s="1"/>
  <c r="K810" i="1" s="1"/>
  <c r="D810" i="1"/>
  <c r="C810" i="1"/>
  <c r="P809" i="1"/>
  <c r="N809" i="1"/>
  <c r="O809" i="1" s="1"/>
  <c r="K809" i="1" s="1"/>
  <c r="P808" i="1"/>
  <c r="N808" i="1"/>
  <c r="O808" i="1" s="1"/>
  <c r="K808" i="1" s="1"/>
  <c r="P807" i="1"/>
  <c r="N807" i="1"/>
  <c r="O807" i="1" s="1"/>
  <c r="K807" i="1" s="1"/>
  <c r="P806" i="1"/>
  <c r="N806" i="1"/>
  <c r="O806" i="1" s="1"/>
  <c r="K806" i="1" s="1"/>
  <c r="D806" i="1"/>
  <c r="C806" i="1"/>
  <c r="P805" i="1"/>
  <c r="N805" i="1"/>
  <c r="O805" i="1" s="1"/>
  <c r="D805" i="1"/>
  <c r="C805" i="1"/>
  <c r="N804" i="1"/>
  <c r="O804" i="1" s="1"/>
  <c r="K804" i="1" s="1"/>
  <c r="D804" i="1"/>
  <c r="P804" i="1" s="1"/>
  <c r="C804" i="1"/>
  <c r="O803" i="1"/>
  <c r="N803" i="1"/>
  <c r="D803" i="1"/>
  <c r="P803" i="1" s="1"/>
  <c r="C803" i="1"/>
  <c r="P802" i="1"/>
  <c r="N802" i="1"/>
  <c r="O802" i="1" s="1"/>
  <c r="K802" i="1" s="1"/>
  <c r="D802" i="1"/>
  <c r="C802" i="1"/>
  <c r="P801" i="1"/>
  <c r="N801" i="1"/>
  <c r="O801" i="1" s="1"/>
  <c r="K801" i="1" s="1"/>
  <c r="D801" i="1"/>
  <c r="C801" i="1"/>
  <c r="N800" i="1"/>
  <c r="O800" i="1" s="1"/>
  <c r="D800" i="1"/>
  <c r="P800" i="1" s="1"/>
  <c r="C800" i="1"/>
  <c r="O799" i="1"/>
  <c r="K799" i="1" s="1"/>
  <c r="N799" i="1"/>
  <c r="D799" i="1"/>
  <c r="P799" i="1" s="1"/>
  <c r="C799" i="1"/>
  <c r="P798" i="1"/>
  <c r="N798" i="1"/>
  <c r="O798" i="1" s="1"/>
  <c r="K798" i="1" s="1"/>
  <c r="D798" i="1"/>
  <c r="C798" i="1"/>
  <c r="P797" i="1"/>
  <c r="N797" i="1"/>
  <c r="O797" i="1" s="1"/>
  <c r="O796" i="1"/>
  <c r="K796" i="1" s="1"/>
  <c r="N796" i="1"/>
  <c r="D796" i="1"/>
  <c r="P796" i="1" s="1"/>
  <c r="C796" i="1"/>
  <c r="P795" i="1"/>
  <c r="N795" i="1"/>
  <c r="O795" i="1" s="1"/>
  <c r="K795" i="1" s="1"/>
  <c r="D795" i="1"/>
  <c r="C795" i="1"/>
  <c r="P794" i="1"/>
  <c r="N794" i="1"/>
  <c r="O794" i="1" s="1"/>
  <c r="O793" i="1"/>
  <c r="N793" i="1"/>
  <c r="D793" i="1"/>
  <c r="P793" i="1" s="1"/>
  <c r="C793" i="1"/>
  <c r="P792" i="1"/>
  <c r="N792" i="1"/>
  <c r="O792" i="1" s="1"/>
  <c r="K792" i="1" s="1"/>
  <c r="D792" i="1"/>
  <c r="C792" i="1"/>
  <c r="P791" i="1"/>
  <c r="N791" i="1"/>
  <c r="O791" i="1" s="1"/>
  <c r="K791" i="1" s="1"/>
  <c r="O790" i="1"/>
  <c r="N790" i="1"/>
  <c r="D790" i="1"/>
  <c r="P790" i="1" s="1"/>
  <c r="C790" i="1"/>
  <c r="P789" i="1"/>
  <c r="N789" i="1"/>
  <c r="O789" i="1" s="1"/>
  <c r="K789" i="1" s="1"/>
  <c r="D789" i="1"/>
  <c r="C789" i="1"/>
  <c r="P788" i="1"/>
  <c r="N788" i="1"/>
  <c r="O788" i="1" s="1"/>
  <c r="P787" i="1"/>
  <c r="O787" i="1"/>
  <c r="K787" i="1" s="1"/>
  <c r="N787" i="1"/>
  <c r="P786" i="1"/>
  <c r="N786" i="1"/>
  <c r="O786" i="1" s="1"/>
  <c r="P785" i="1"/>
  <c r="O785" i="1"/>
  <c r="K785" i="1" s="1"/>
  <c r="N785" i="1"/>
  <c r="P784" i="1"/>
  <c r="N784" i="1"/>
  <c r="O784" i="1" s="1"/>
  <c r="P783" i="1"/>
  <c r="O783" i="1"/>
  <c r="K783" i="1" s="1"/>
  <c r="N783" i="1"/>
  <c r="P782" i="1"/>
  <c r="N782" i="1"/>
  <c r="O782" i="1" s="1"/>
  <c r="K782" i="1" s="1"/>
  <c r="P781" i="1"/>
  <c r="O781" i="1"/>
  <c r="K781" i="1" s="1"/>
  <c r="N781" i="1"/>
  <c r="P780" i="1"/>
  <c r="N780" i="1"/>
  <c r="O780" i="1" s="1"/>
  <c r="P779" i="1"/>
  <c r="O779" i="1"/>
  <c r="K779" i="1" s="1"/>
  <c r="N779" i="1"/>
  <c r="P778" i="1"/>
  <c r="N778" i="1"/>
  <c r="O778" i="1" s="1"/>
  <c r="K778" i="1" s="1"/>
  <c r="P777" i="1"/>
  <c r="O777" i="1"/>
  <c r="K777" i="1" s="1"/>
  <c r="N777" i="1"/>
  <c r="P776" i="1"/>
  <c r="N776" i="1"/>
  <c r="O776" i="1" s="1"/>
  <c r="K776" i="1" s="1"/>
  <c r="P775" i="1"/>
  <c r="O775" i="1"/>
  <c r="K775" i="1" s="1"/>
  <c r="N775" i="1"/>
  <c r="P774" i="1"/>
  <c r="N774" i="1"/>
  <c r="O774" i="1" s="1"/>
  <c r="K774" i="1" s="1"/>
  <c r="P773" i="1"/>
  <c r="O773" i="1"/>
  <c r="K773" i="1" s="1"/>
  <c r="N773" i="1"/>
  <c r="P772" i="1"/>
  <c r="N772" i="1"/>
  <c r="O772" i="1" s="1"/>
  <c r="P771" i="1"/>
  <c r="O771" i="1"/>
  <c r="K771" i="1" s="1"/>
  <c r="N771" i="1"/>
  <c r="P770" i="1"/>
  <c r="N770" i="1"/>
  <c r="O770" i="1" s="1"/>
  <c r="P769" i="1"/>
  <c r="O769" i="1"/>
  <c r="K769" i="1" s="1"/>
  <c r="N769" i="1"/>
  <c r="P768" i="1"/>
  <c r="N768" i="1"/>
  <c r="O768" i="1" s="1"/>
  <c r="P767" i="1"/>
  <c r="O767" i="1"/>
  <c r="K767" i="1" s="1"/>
  <c r="N767" i="1"/>
  <c r="P766" i="1"/>
  <c r="N766" i="1"/>
  <c r="O766" i="1" s="1"/>
  <c r="K766" i="1" s="1"/>
  <c r="P765" i="1"/>
  <c r="O765" i="1"/>
  <c r="K765" i="1" s="1"/>
  <c r="N765" i="1"/>
  <c r="P764" i="1"/>
  <c r="N764" i="1"/>
  <c r="O764" i="1" s="1"/>
  <c r="K764" i="1" s="1"/>
  <c r="P763" i="1"/>
  <c r="O763" i="1"/>
  <c r="K763" i="1" s="1"/>
  <c r="N763" i="1"/>
  <c r="P762" i="1"/>
  <c r="N762" i="1"/>
  <c r="O762" i="1" s="1"/>
  <c r="K762" i="1" s="1"/>
  <c r="P761" i="1"/>
  <c r="O761" i="1"/>
  <c r="K761" i="1" s="1"/>
  <c r="N761" i="1"/>
  <c r="P760" i="1"/>
  <c r="N760" i="1"/>
  <c r="O760" i="1" s="1"/>
  <c r="K760" i="1" s="1"/>
  <c r="P759" i="1"/>
  <c r="O759" i="1"/>
  <c r="K759" i="1" s="1"/>
  <c r="N759" i="1"/>
  <c r="P758" i="1"/>
  <c r="N758" i="1"/>
  <c r="O758" i="1" s="1"/>
  <c r="K758" i="1" s="1"/>
  <c r="P757" i="1"/>
  <c r="O757" i="1"/>
  <c r="K757" i="1" s="1"/>
  <c r="N757" i="1"/>
  <c r="P756" i="1"/>
  <c r="N756" i="1"/>
  <c r="O756" i="1" s="1"/>
  <c r="P755" i="1"/>
  <c r="O755" i="1"/>
  <c r="K755" i="1" s="1"/>
  <c r="N755" i="1"/>
  <c r="P754" i="1"/>
  <c r="N754" i="1"/>
  <c r="O754" i="1" s="1"/>
  <c r="P753" i="1"/>
  <c r="O753" i="1"/>
  <c r="K753" i="1" s="1"/>
  <c r="N753" i="1"/>
  <c r="P752" i="1"/>
  <c r="N752" i="1"/>
  <c r="O752" i="1" s="1"/>
  <c r="P751" i="1"/>
  <c r="O751" i="1"/>
  <c r="K751" i="1" s="1"/>
  <c r="N751" i="1"/>
  <c r="P750" i="1"/>
  <c r="N750" i="1"/>
  <c r="O750" i="1" s="1"/>
  <c r="K750" i="1" s="1"/>
  <c r="P749" i="1"/>
  <c r="O749" i="1"/>
  <c r="K749" i="1" s="1"/>
  <c r="N749" i="1"/>
  <c r="P748" i="1"/>
  <c r="N748" i="1"/>
  <c r="O748" i="1" s="1"/>
  <c r="K748" i="1" s="1"/>
  <c r="P747" i="1"/>
  <c r="O747" i="1"/>
  <c r="K747" i="1" s="1"/>
  <c r="N747" i="1"/>
  <c r="P746" i="1"/>
  <c r="N746" i="1"/>
  <c r="O746" i="1" s="1"/>
  <c r="K746" i="1" s="1"/>
  <c r="P745" i="1"/>
  <c r="O745" i="1"/>
  <c r="K745" i="1" s="1"/>
  <c r="N745" i="1"/>
  <c r="P744" i="1"/>
  <c r="N744" i="1"/>
  <c r="O744" i="1" s="1"/>
  <c r="K744" i="1" s="1"/>
  <c r="P743" i="1"/>
  <c r="O743" i="1"/>
  <c r="K743" i="1" s="1"/>
  <c r="N743" i="1"/>
  <c r="P742" i="1"/>
  <c r="N742" i="1"/>
  <c r="O742" i="1" s="1"/>
  <c r="K742" i="1" s="1"/>
  <c r="O741" i="1"/>
  <c r="K741" i="1" s="1"/>
  <c r="N741" i="1"/>
  <c r="C741" i="1"/>
  <c r="P741" i="1" s="1"/>
  <c r="P740" i="1"/>
  <c r="O740" i="1"/>
  <c r="K740" i="1" s="1"/>
  <c r="N740" i="1"/>
  <c r="P739" i="1"/>
  <c r="O739" i="1"/>
  <c r="N739" i="1"/>
  <c r="K739" i="1"/>
  <c r="P738" i="1"/>
  <c r="O738" i="1"/>
  <c r="K738" i="1" s="1"/>
  <c r="N738" i="1"/>
  <c r="P737" i="1"/>
  <c r="O737" i="1"/>
  <c r="N737" i="1"/>
  <c r="K737" i="1"/>
  <c r="P736" i="1"/>
  <c r="O736" i="1"/>
  <c r="K736" i="1" s="1"/>
  <c r="N736" i="1"/>
  <c r="O735" i="1"/>
  <c r="N735" i="1"/>
  <c r="D735" i="1"/>
  <c r="C735" i="1"/>
  <c r="P735" i="1" s="1"/>
  <c r="K735" i="1" s="1"/>
  <c r="P734" i="1"/>
  <c r="N734" i="1"/>
  <c r="O734" i="1" s="1"/>
  <c r="K734" i="1" s="1"/>
  <c r="O733" i="1"/>
  <c r="K733" i="1" s="1"/>
  <c r="N733" i="1"/>
  <c r="D733" i="1"/>
  <c r="C733" i="1"/>
  <c r="P733" i="1" s="1"/>
  <c r="O732" i="1"/>
  <c r="N732" i="1"/>
  <c r="D732" i="1"/>
  <c r="C732" i="1"/>
  <c r="P732" i="1" s="1"/>
  <c r="K732" i="1" s="1"/>
  <c r="P731" i="1"/>
  <c r="N731" i="1"/>
  <c r="O731" i="1" s="1"/>
  <c r="K731" i="1" s="1"/>
  <c r="P730" i="1"/>
  <c r="O730" i="1"/>
  <c r="K730" i="1" s="1"/>
  <c r="N730" i="1"/>
  <c r="P729" i="1"/>
  <c r="N729" i="1"/>
  <c r="O729" i="1" s="1"/>
  <c r="K729" i="1" s="1"/>
  <c r="P728" i="1"/>
  <c r="O728" i="1"/>
  <c r="K728" i="1" s="1"/>
  <c r="N728" i="1"/>
  <c r="P727" i="1"/>
  <c r="N727" i="1"/>
  <c r="O727" i="1" s="1"/>
  <c r="K727" i="1" s="1"/>
  <c r="P726" i="1"/>
  <c r="O726" i="1"/>
  <c r="K726" i="1" s="1"/>
  <c r="N726" i="1"/>
  <c r="P725" i="1"/>
  <c r="N725" i="1"/>
  <c r="O725" i="1" s="1"/>
  <c r="K725" i="1" s="1"/>
  <c r="P724" i="1"/>
  <c r="O724" i="1"/>
  <c r="K724" i="1" s="1"/>
  <c r="N724" i="1"/>
  <c r="P723" i="1"/>
  <c r="N723" i="1"/>
  <c r="O723" i="1" s="1"/>
  <c r="K723" i="1" s="1"/>
  <c r="P722" i="1"/>
  <c r="O722" i="1"/>
  <c r="K722" i="1" s="1"/>
  <c r="N722" i="1"/>
  <c r="P721" i="1"/>
  <c r="N721" i="1"/>
  <c r="O721" i="1" s="1"/>
  <c r="K721" i="1" s="1"/>
  <c r="P720" i="1"/>
  <c r="O720" i="1"/>
  <c r="K720" i="1" s="1"/>
  <c r="N720" i="1"/>
  <c r="P719" i="1"/>
  <c r="N719" i="1"/>
  <c r="O719" i="1" s="1"/>
  <c r="K719" i="1" s="1"/>
  <c r="P718" i="1"/>
  <c r="O718" i="1"/>
  <c r="K718" i="1" s="1"/>
  <c r="N718" i="1"/>
  <c r="P717" i="1"/>
  <c r="N717" i="1"/>
  <c r="O717" i="1" s="1"/>
  <c r="K717" i="1" s="1"/>
  <c r="P716" i="1"/>
  <c r="O716" i="1"/>
  <c r="K716" i="1" s="1"/>
  <c r="N716" i="1"/>
  <c r="P715" i="1"/>
  <c r="N715" i="1"/>
  <c r="O715" i="1" s="1"/>
  <c r="K715" i="1" s="1"/>
  <c r="P714" i="1"/>
  <c r="O714" i="1"/>
  <c r="K714" i="1" s="1"/>
  <c r="N714" i="1"/>
  <c r="P713" i="1"/>
  <c r="N713" i="1"/>
  <c r="O713" i="1" s="1"/>
  <c r="K713" i="1" s="1"/>
  <c r="P712" i="1"/>
  <c r="O712" i="1"/>
  <c r="K712" i="1" s="1"/>
  <c r="N712" i="1"/>
  <c r="P711" i="1"/>
  <c r="N711" i="1"/>
  <c r="O711" i="1" s="1"/>
  <c r="K711" i="1" s="1"/>
  <c r="P710" i="1"/>
  <c r="O710" i="1"/>
  <c r="K710" i="1" s="1"/>
  <c r="N710" i="1"/>
  <c r="P709" i="1"/>
  <c r="N709" i="1"/>
  <c r="O709" i="1" s="1"/>
  <c r="K709" i="1" s="1"/>
  <c r="P708" i="1"/>
  <c r="O708" i="1"/>
  <c r="K708" i="1" s="1"/>
  <c r="N708" i="1"/>
  <c r="P707" i="1"/>
  <c r="N707" i="1"/>
  <c r="O707" i="1" s="1"/>
  <c r="K707" i="1" s="1"/>
  <c r="P706" i="1"/>
  <c r="O706" i="1"/>
  <c r="K706" i="1" s="1"/>
  <c r="N706" i="1"/>
  <c r="P705" i="1"/>
  <c r="N705" i="1"/>
  <c r="O705" i="1" s="1"/>
  <c r="K705" i="1" s="1"/>
  <c r="P704" i="1"/>
  <c r="O704" i="1"/>
  <c r="K704" i="1" s="1"/>
  <c r="N704" i="1"/>
  <c r="P703" i="1"/>
  <c r="N703" i="1"/>
  <c r="O703" i="1" s="1"/>
  <c r="K703" i="1" s="1"/>
  <c r="P702" i="1"/>
  <c r="O702" i="1"/>
  <c r="K702" i="1" s="1"/>
  <c r="N702" i="1"/>
  <c r="P701" i="1"/>
  <c r="N701" i="1"/>
  <c r="O701" i="1" s="1"/>
  <c r="K701" i="1" s="1"/>
  <c r="P700" i="1"/>
  <c r="O700" i="1"/>
  <c r="K700" i="1" s="1"/>
  <c r="N700" i="1"/>
  <c r="P699" i="1"/>
  <c r="N699" i="1"/>
  <c r="O699" i="1" s="1"/>
  <c r="K699" i="1" s="1"/>
  <c r="P698" i="1"/>
  <c r="O698" i="1"/>
  <c r="K698" i="1" s="1"/>
  <c r="N698" i="1"/>
  <c r="P697" i="1"/>
  <c r="N697" i="1"/>
  <c r="O697" i="1" s="1"/>
  <c r="K697" i="1" s="1"/>
  <c r="P696" i="1"/>
  <c r="O696" i="1"/>
  <c r="K696" i="1" s="1"/>
  <c r="N696" i="1"/>
  <c r="P695" i="1"/>
  <c r="N695" i="1"/>
  <c r="O695" i="1" s="1"/>
  <c r="K695" i="1" s="1"/>
  <c r="P694" i="1"/>
  <c r="O694" i="1"/>
  <c r="K694" i="1" s="1"/>
  <c r="N694" i="1"/>
  <c r="P693" i="1"/>
  <c r="N693" i="1"/>
  <c r="O693" i="1" s="1"/>
  <c r="K693" i="1" s="1"/>
  <c r="P692" i="1"/>
  <c r="O692" i="1"/>
  <c r="K692" i="1" s="1"/>
  <c r="N692" i="1"/>
  <c r="N691" i="1"/>
  <c r="O691" i="1" s="1"/>
  <c r="K691" i="1" s="1"/>
  <c r="P690" i="1"/>
  <c r="N690" i="1"/>
  <c r="O690" i="1" s="1"/>
  <c r="K690" i="1" s="1"/>
  <c r="P689" i="1"/>
  <c r="N689" i="1"/>
  <c r="O689" i="1" s="1"/>
  <c r="K689" i="1" s="1"/>
  <c r="C689" i="1"/>
  <c r="P688" i="1"/>
  <c r="O688" i="1"/>
  <c r="K688" i="1" s="1"/>
  <c r="N688" i="1"/>
  <c r="C688" i="1"/>
  <c r="P687" i="1"/>
  <c r="O687" i="1"/>
  <c r="K687" i="1" s="1"/>
  <c r="N687" i="1"/>
  <c r="P686" i="1"/>
  <c r="N686" i="1"/>
  <c r="O686" i="1" s="1"/>
  <c r="C686" i="1"/>
  <c r="P685" i="1"/>
  <c r="O685" i="1"/>
  <c r="N685" i="1"/>
  <c r="K685" i="1"/>
  <c r="P684" i="1"/>
  <c r="O684" i="1"/>
  <c r="K684" i="1" s="1"/>
  <c r="N684" i="1"/>
  <c r="P683" i="1"/>
  <c r="O683" i="1"/>
  <c r="N683" i="1"/>
  <c r="K683" i="1"/>
  <c r="P682" i="1"/>
  <c r="O682" i="1"/>
  <c r="K682" i="1" s="1"/>
  <c r="N682" i="1"/>
  <c r="P681" i="1"/>
  <c r="O681" i="1"/>
  <c r="N681" i="1"/>
  <c r="K681" i="1"/>
  <c r="P680" i="1"/>
  <c r="O680" i="1"/>
  <c r="K680" i="1" s="1"/>
  <c r="N680" i="1"/>
  <c r="P679" i="1"/>
  <c r="O679" i="1"/>
  <c r="N679" i="1"/>
  <c r="K679" i="1"/>
  <c r="P678" i="1"/>
  <c r="O678" i="1"/>
  <c r="K678" i="1" s="1"/>
  <c r="N678" i="1"/>
  <c r="P677" i="1"/>
  <c r="O677" i="1"/>
  <c r="N677" i="1"/>
  <c r="K677" i="1"/>
  <c r="P676" i="1"/>
  <c r="O676" i="1"/>
  <c r="K676" i="1" s="1"/>
  <c r="N676" i="1"/>
  <c r="P675" i="1"/>
  <c r="K675" i="1" s="1"/>
  <c r="O675" i="1"/>
  <c r="N675" i="1"/>
  <c r="P674" i="1"/>
  <c r="O674" i="1"/>
  <c r="K674" i="1" s="1"/>
  <c r="N674" i="1"/>
  <c r="P673" i="1"/>
  <c r="O673" i="1"/>
  <c r="N673" i="1"/>
  <c r="K673" i="1"/>
  <c r="P672" i="1"/>
  <c r="O672" i="1"/>
  <c r="K672" i="1" s="1"/>
  <c r="N672" i="1"/>
  <c r="P671" i="1"/>
  <c r="K671" i="1" s="1"/>
  <c r="O671" i="1"/>
  <c r="N671" i="1"/>
  <c r="P670" i="1"/>
  <c r="O670" i="1"/>
  <c r="K670" i="1" s="1"/>
  <c r="N670" i="1"/>
  <c r="P669" i="1"/>
  <c r="K669" i="1" s="1"/>
  <c r="O669" i="1"/>
  <c r="N669" i="1"/>
  <c r="P668" i="1"/>
  <c r="O668" i="1"/>
  <c r="K668" i="1" s="1"/>
  <c r="N668" i="1"/>
  <c r="P667" i="1"/>
  <c r="K667" i="1" s="1"/>
  <c r="O667" i="1"/>
  <c r="N667" i="1"/>
  <c r="P666" i="1"/>
  <c r="O666" i="1"/>
  <c r="K666" i="1" s="1"/>
  <c r="N666" i="1"/>
  <c r="P665" i="1"/>
  <c r="K665" i="1" s="1"/>
  <c r="O665" i="1"/>
  <c r="N665" i="1"/>
  <c r="P664" i="1"/>
  <c r="O664" i="1"/>
  <c r="K664" i="1" s="1"/>
  <c r="N664" i="1"/>
  <c r="P663" i="1"/>
  <c r="K663" i="1" s="1"/>
  <c r="O663" i="1"/>
  <c r="N663" i="1"/>
  <c r="P662" i="1"/>
  <c r="O662" i="1"/>
  <c r="K662" i="1" s="1"/>
  <c r="N662" i="1"/>
  <c r="P661" i="1"/>
  <c r="O661" i="1"/>
  <c r="N661" i="1"/>
  <c r="K661" i="1"/>
  <c r="P660" i="1"/>
  <c r="O660" i="1"/>
  <c r="K660" i="1" s="1"/>
  <c r="N660" i="1"/>
  <c r="P659" i="1"/>
  <c r="K659" i="1" s="1"/>
  <c r="O659" i="1"/>
  <c r="N659" i="1"/>
  <c r="P658" i="1"/>
  <c r="O658" i="1"/>
  <c r="K658" i="1" s="1"/>
  <c r="N658" i="1"/>
  <c r="P657" i="1"/>
  <c r="O657" i="1"/>
  <c r="N657" i="1"/>
  <c r="K657" i="1"/>
  <c r="P656" i="1"/>
  <c r="O656" i="1"/>
  <c r="K656" i="1" s="1"/>
  <c r="N656" i="1"/>
  <c r="P655" i="1"/>
  <c r="K655" i="1" s="1"/>
  <c r="O655" i="1"/>
  <c r="N655" i="1"/>
  <c r="P654" i="1"/>
  <c r="O654" i="1"/>
  <c r="K654" i="1" s="1"/>
  <c r="N654" i="1"/>
  <c r="P653" i="1"/>
  <c r="K653" i="1" s="1"/>
  <c r="O653" i="1"/>
  <c r="N653" i="1"/>
  <c r="P652" i="1"/>
  <c r="O652" i="1"/>
  <c r="K652" i="1" s="1"/>
  <c r="N652" i="1"/>
  <c r="P651" i="1"/>
  <c r="K651" i="1" s="1"/>
  <c r="O651" i="1"/>
  <c r="N651" i="1"/>
  <c r="P650" i="1"/>
  <c r="O650" i="1"/>
  <c r="K650" i="1" s="1"/>
  <c r="N650" i="1"/>
  <c r="P649" i="1"/>
  <c r="K649" i="1" s="1"/>
  <c r="O649" i="1"/>
  <c r="N649" i="1"/>
  <c r="P648" i="1"/>
  <c r="O648" i="1"/>
  <c r="K648" i="1" s="1"/>
  <c r="N648" i="1"/>
  <c r="P647" i="1"/>
  <c r="K647" i="1" s="1"/>
  <c r="O647" i="1"/>
  <c r="N647" i="1"/>
  <c r="P646" i="1"/>
  <c r="O646" i="1"/>
  <c r="K646" i="1" s="1"/>
  <c r="N646" i="1"/>
  <c r="P645" i="1"/>
  <c r="O645" i="1"/>
  <c r="N645" i="1"/>
  <c r="K645" i="1"/>
  <c r="P644" i="1"/>
  <c r="O644" i="1"/>
  <c r="K644" i="1" s="1"/>
  <c r="N644" i="1"/>
  <c r="P643" i="1"/>
  <c r="K643" i="1" s="1"/>
  <c r="O643" i="1"/>
  <c r="N643" i="1"/>
  <c r="P642" i="1"/>
  <c r="O642" i="1"/>
  <c r="K642" i="1" s="1"/>
  <c r="N642" i="1"/>
  <c r="P641" i="1"/>
  <c r="O641" i="1"/>
  <c r="N641" i="1"/>
  <c r="K641" i="1"/>
  <c r="P640" i="1"/>
  <c r="O640" i="1"/>
  <c r="K640" i="1" s="1"/>
  <c r="N640" i="1"/>
  <c r="P639" i="1"/>
  <c r="K639" i="1" s="1"/>
  <c r="O639" i="1"/>
  <c r="N639" i="1"/>
  <c r="P638" i="1"/>
  <c r="O638" i="1"/>
  <c r="K638" i="1" s="1"/>
  <c r="N638" i="1"/>
  <c r="P637" i="1"/>
  <c r="K637" i="1" s="1"/>
  <c r="O637" i="1"/>
  <c r="N637" i="1"/>
  <c r="P636" i="1"/>
  <c r="O636" i="1"/>
  <c r="K636" i="1" s="1"/>
  <c r="N636" i="1"/>
  <c r="P635" i="1"/>
  <c r="K635" i="1" s="1"/>
  <c r="O635" i="1"/>
  <c r="N635" i="1"/>
  <c r="P634" i="1"/>
  <c r="O634" i="1"/>
  <c r="K634" i="1" s="1"/>
  <c r="N634" i="1"/>
  <c r="P633" i="1"/>
  <c r="K633" i="1" s="1"/>
  <c r="O633" i="1"/>
  <c r="N633" i="1"/>
  <c r="P632" i="1"/>
  <c r="O632" i="1"/>
  <c r="K632" i="1" s="1"/>
  <c r="N632" i="1"/>
  <c r="P631" i="1"/>
  <c r="K631" i="1" s="1"/>
  <c r="O631" i="1"/>
  <c r="N631" i="1"/>
  <c r="P630" i="1"/>
  <c r="O630" i="1"/>
  <c r="K630" i="1" s="1"/>
  <c r="N630" i="1"/>
  <c r="P629" i="1"/>
  <c r="N629" i="1"/>
  <c r="O629" i="1" s="1"/>
  <c r="K629" i="1" s="1"/>
  <c r="P628" i="1"/>
  <c r="O628" i="1"/>
  <c r="K628" i="1" s="1"/>
  <c r="N628" i="1"/>
  <c r="P627" i="1"/>
  <c r="N627" i="1"/>
  <c r="O627" i="1" s="1"/>
  <c r="K627" i="1" s="1"/>
  <c r="P626" i="1"/>
  <c r="O626" i="1"/>
  <c r="K626" i="1" s="1"/>
  <c r="N626" i="1"/>
  <c r="P625" i="1"/>
  <c r="K625" i="1" s="1"/>
  <c r="N625" i="1"/>
  <c r="O625" i="1" s="1"/>
  <c r="P624" i="1"/>
  <c r="O624" i="1"/>
  <c r="K624" i="1" s="1"/>
  <c r="N624" i="1"/>
  <c r="P623" i="1"/>
  <c r="N623" i="1"/>
  <c r="O623" i="1" s="1"/>
  <c r="K623" i="1"/>
  <c r="P622" i="1"/>
  <c r="O622" i="1"/>
  <c r="K622" i="1" s="1"/>
  <c r="N622" i="1"/>
  <c r="P621" i="1"/>
  <c r="N621" i="1"/>
  <c r="O621" i="1" s="1"/>
  <c r="K621" i="1" s="1"/>
  <c r="P620" i="1"/>
  <c r="O620" i="1"/>
  <c r="K620" i="1" s="1"/>
  <c r="N620" i="1"/>
  <c r="P619" i="1"/>
  <c r="N619" i="1"/>
  <c r="O619" i="1" s="1"/>
  <c r="K619" i="1" s="1"/>
  <c r="P618" i="1"/>
  <c r="O618" i="1"/>
  <c r="K618" i="1" s="1"/>
  <c r="N618" i="1"/>
  <c r="P617" i="1"/>
  <c r="K617" i="1" s="1"/>
  <c r="N617" i="1"/>
  <c r="O617" i="1" s="1"/>
  <c r="P616" i="1"/>
  <c r="O616" i="1"/>
  <c r="K616" i="1" s="1"/>
  <c r="N616" i="1"/>
  <c r="P615" i="1"/>
  <c r="N615" i="1"/>
  <c r="O615" i="1" s="1"/>
  <c r="K615" i="1"/>
  <c r="P614" i="1"/>
  <c r="O614" i="1"/>
  <c r="K614" i="1" s="1"/>
  <c r="N614" i="1"/>
  <c r="P613" i="1"/>
  <c r="N613" i="1"/>
  <c r="O613" i="1" s="1"/>
  <c r="K613" i="1" s="1"/>
  <c r="P612" i="1"/>
  <c r="O612" i="1"/>
  <c r="K612" i="1" s="1"/>
  <c r="N612" i="1"/>
  <c r="P611" i="1"/>
  <c r="N611" i="1"/>
  <c r="O611" i="1" s="1"/>
  <c r="K611" i="1" s="1"/>
  <c r="P610" i="1"/>
  <c r="O610" i="1"/>
  <c r="K610" i="1" s="1"/>
  <c r="N610" i="1"/>
  <c r="P609" i="1"/>
  <c r="K609" i="1" s="1"/>
  <c r="N609" i="1"/>
  <c r="O609" i="1" s="1"/>
  <c r="P608" i="1"/>
  <c r="O608" i="1"/>
  <c r="K608" i="1" s="1"/>
  <c r="N608" i="1"/>
  <c r="P607" i="1"/>
  <c r="N607" i="1"/>
  <c r="O607" i="1" s="1"/>
  <c r="K607" i="1"/>
  <c r="P606" i="1"/>
  <c r="O606" i="1"/>
  <c r="K606" i="1" s="1"/>
  <c r="N606" i="1"/>
  <c r="P605" i="1"/>
  <c r="N605" i="1"/>
  <c r="O605" i="1" s="1"/>
  <c r="K605" i="1" s="1"/>
  <c r="P604" i="1"/>
  <c r="O604" i="1"/>
  <c r="K604" i="1" s="1"/>
  <c r="N604" i="1"/>
  <c r="P603" i="1"/>
  <c r="N603" i="1"/>
  <c r="O603" i="1" s="1"/>
  <c r="K603" i="1" s="1"/>
  <c r="P602" i="1"/>
  <c r="O602" i="1"/>
  <c r="K602" i="1" s="1"/>
  <c r="N602" i="1"/>
  <c r="P601" i="1"/>
  <c r="K601" i="1" s="1"/>
  <c r="N601" i="1"/>
  <c r="O601" i="1" s="1"/>
  <c r="P600" i="1"/>
  <c r="O600" i="1"/>
  <c r="K600" i="1" s="1"/>
  <c r="N600" i="1"/>
  <c r="P599" i="1"/>
  <c r="N599" i="1"/>
  <c r="O599" i="1" s="1"/>
  <c r="K599" i="1"/>
  <c r="P598" i="1"/>
  <c r="O598" i="1"/>
  <c r="K598" i="1" s="1"/>
  <c r="N598" i="1"/>
  <c r="P597" i="1"/>
  <c r="N597" i="1"/>
  <c r="O597" i="1" s="1"/>
  <c r="K597" i="1" s="1"/>
  <c r="P596" i="1"/>
  <c r="O596" i="1"/>
  <c r="N596" i="1"/>
  <c r="P595" i="1"/>
  <c r="O595" i="1"/>
  <c r="K595" i="1" s="1"/>
  <c r="N595" i="1"/>
  <c r="P594" i="1"/>
  <c r="N594" i="1"/>
  <c r="O594" i="1" s="1"/>
  <c r="P593" i="1"/>
  <c r="O593" i="1"/>
  <c r="K593" i="1" s="1"/>
  <c r="N593" i="1"/>
  <c r="P592" i="1"/>
  <c r="N592" i="1"/>
  <c r="O592" i="1" s="1"/>
  <c r="K592" i="1" s="1"/>
  <c r="P591" i="1"/>
  <c r="O591" i="1"/>
  <c r="K591" i="1" s="1"/>
  <c r="N591" i="1"/>
  <c r="P590" i="1"/>
  <c r="N590" i="1"/>
  <c r="O590" i="1" s="1"/>
  <c r="K590" i="1" s="1"/>
  <c r="P589" i="1"/>
  <c r="O589" i="1"/>
  <c r="K589" i="1" s="1"/>
  <c r="N589" i="1"/>
  <c r="P588" i="1"/>
  <c r="N588" i="1"/>
  <c r="O588" i="1" s="1"/>
  <c r="K588" i="1" s="1"/>
  <c r="P587" i="1"/>
  <c r="O587" i="1"/>
  <c r="K587" i="1" s="1"/>
  <c r="N587" i="1"/>
  <c r="P586" i="1"/>
  <c r="N586" i="1"/>
  <c r="O586" i="1" s="1"/>
  <c r="K586" i="1" s="1"/>
  <c r="P585" i="1"/>
  <c r="O585" i="1"/>
  <c r="K585" i="1" s="1"/>
  <c r="N585" i="1"/>
  <c r="P584" i="1"/>
  <c r="N584" i="1"/>
  <c r="O584" i="1" s="1"/>
  <c r="K584" i="1" s="1"/>
  <c r="P583" i="1"/>
  <c r="O583" i="1"/>
  <c r="K583" i="1" s="1"/>
  <c r="N583" i="1"/>
  <c r="P582" i="1"/>
  <c r="N582" i="1"/>
  <c r="O582" i="1" s="1"/>
  <c r="P581" i="1"/>
  <c r="O581" i="1"/>
  <c r="K581" i="1" s="1"/>
  <c r="N581" i="1"/>
  <c r="P580" i="1"/>
  <c r="N580" i="1"/>
  <c r="O580" i="1" s="1"/>
  <c r="P579" i="1"/>
  <c r="O579" i="1"/>
  <c r="K579" i="1" s="1"/>
  <c r="N579" i="1"/>
  <c r="P578" i="1"/>
  <c r="N578" i="1"/>
  <c r="O578" i="1" s="1"/>
  <c r="P577" i="1"/>
  <c r="O577" i="1"/>
  <c r="K577" i="1" s="1"/>
  <c r="N577" i="1"/>
  <c r="P576" i="1"/>
  <c r="N576" i="1"/>
  <c r="O576" i="1" s="1"/>
  <c r="K576" i="1" s="1"/>
  <c r="O575" i="1"/>
  <c r="N575" i="1"/>
  <c r="C575" i="1"/>
  <c r="P575" i="1" s="1"/>
  <c r="O574" i="1"/>
  <c r="K574" i="1" s="1"/>
  <c r="N574" i="1"/>
  <c r="C574" i="1"/>
  <c r="P574" i="1" s="1"/>
  <c r="P573" i="1"/>
  <c r="N573" i="1"/>
  <c r="O573" i="1" s="1"/>
  <c r="K573" i="1" s="1"/>
  <c r="P572" i="1"/>
  <c r="N572" i="1"/>
  <c r="O572" i="1" s="1"/>
  <c r="K572" i="1" s="1"/>
  <c r="P571" i="1"/>
  <c r="N571" i="1"/>
  <c r="O571" i="1" s="1"/>
  <c r="K571" i="1" s="1"/>
  <c r="P570" i="1"/>
  <c r="N570" i="1"/>
  <c r="O570" i="1" s="1"/>
  <c r="K570" i="1"/>
  <c r="P569" i="1"/>
  <c r="N569" i="1"/>
  <c r="O569" i="1" s="1"/>
  <c r="K569" i="1" s="1"/>
  <c r="P568" i="1"/>
  <c r="N568" i="1"/>
  <c r="O568" i="1" s="1"/>
  <c r="K568" i="1"/>
  <c r="P567" i="1"/>
  <c r="N567" i="1"/>
  <c r="O567" i="1" s="1"/>
  <c r="K567" i="1" s="1"/>
  <c r="P566" i="1"/>
  <c r="N566" i="1"/>
  <c r="O566" i="1" s="1"/>
  <c r="K566" i="1"/>
  <c r="P565" i="1"/>
  <c r="N565" i="1"/>
  <c r="O565" i="1" s="1"/>
  <c r="K565" i="1" s="1"/>
  <c r="P564" i="1"/>
  <c r="K564" i="1" s="1"/>
  <c r="N564" i="1"/>
  <c r="O564" i="1" s="1"/>
  <c r="P563" i="1"/>
  <c r="N563" i="1"/>
  <c r="O563" i="1" s="1"/>
  <c r="K563" i="1" s="1"/>
  <c r="P562" i="1"/>
  <c r="K562" i="1" s="1"/>
  <c r="N562" i="1"/>
  <c r="O562" i="1" s="1"/>
  <c r="P561" i="1"/>
  <c r="N561" i="1"/>
  <c r="O561" i="1" s="1"/>
  <c r="K561" i="1" s="1"/>
  <c r="P560" i="1"/>
  <c r="N560" i="1"/>
  <c r="O560" i="1" s="1"/>
  <c r="K560" i="1" s="1"/>
  <c r="P559" i="1"/>
  <c r="N559" i="1"/>
  <c r="O559" i="1" s="1"/>
  <c r="K559" i="1" s="1"/>
  <c r="P558" i="1"/>
  <c r="N558" i="1"/>
  <c r="O558" i="1" s="1"/>
  <c r="K558" i="1" s="1"/>
  <c r="P557" i="1"/>
  <c r="N557" i="1"/>
  <c r="O557" i="1" s="1"/>
  <c r="K557" i="1" s="1"/>
  <c r="P556" i="1"/>
  <c r="N556" i="1"/>
  <c r="O556" i="1" s="1"/>
  <c r="K556" i="1" s="1"/>
  <c r="P555" i="1"/>
  <c r="N555" i="1"/>
  <c r="O555" i="1" s="1"/>
  <c r="K555" i="1" s="1"/>
  <c r="P554" i="1"/>
  <c r="N554" i="1"/>
  <c r="O554" i="1" s="1"/>
  <c r="K554" i="1"/>
  <c r="P553" i="1"/>
  <c r="N553" i="1"/>
  <c r="O553" i="1" s="1"/>
  <c r="K553" i="1" s="1"/>
  <c r="P552" i="1"/>
  <c r="N552" i="1"/>
  <c r="O552" i="1" s="1"/>
  <c r="K552" i="1"/>
  <c r="P551" i="1"/>
  <c r="N551" i="1"/>
  <c r="O551" i="1" s="1"/>
  <c r="K551" i="1" s="1"/>
  <c r="P550" i="1"/>
  <c r="N550" i="1"/>
  <c r="O550" i="1" s="1"/>
  <c r="K550" i="1"/>
  <c r="P549" i="1"/>
  <c r="N549" i="1"/>
  <c r="O549" i="1" s="1"/>
  <c r="K549" i="1" s="1"/>
  <c r="P547" i="1"/>
  <c r="K547" i="1" s="1"/>
  <c r="N547" i="1"/>
  <c r="O547" i="1" s="1"/>
  <c r="P546" i="1"/>
  <c r="N546" i="1"/>
  <c r="O546" i="1" s="1"/>
  <c r="K546" i="1" s="1"/>
  <c r="P545" i="1"/>
  <c r="K545" i="1" s="1"/>
  <c r="N545" i="1"/>
  <c r="O545" i="1" s="1"/>
  <c r="P544" i="1"/>
  <c r="N544" i="1"/>
  <c r="O544" i="1" s="1"/>
  <c r="K544" i="1" s="1"/>
  <c r="P543" i="1"/>
  <c r="N543" i="1"/>
  <c r="O543" i="1" s="1"/>
  <c r="K543" i="1" s="1"/>
  <c r="P542" i="1"/>
  <c r="N542" i="1"/>
  <c r="O542" i="1" s="1"/>
  <c r="K542" i="1" s="1"/>
  <c r="P541" i="1"/>
  <c r="N541" i="1"/>
  <c r="O541" i="1" s="1"/>
  <c r="K541" i="1" s="1"/>
  <c r="P540" i="1"/>
  <c r="N540" i="1"/>
  <c r="O540" i="1" s="1"/>
  <c r="K540" i="1" s="1"/>
  <c r="P539" i="1"/>
  <c r="N539" i="1"/>
  <c r="O539" i="1" s="1"/>
  <c r="K539" i="1" s="1"/>
  <c r="P538" i="1"/>
  <c r="N538" i="1"/>
  <c r="O538" i="1" s="1"/>
  <c r="K538" i="1" s="1"/>
  <c r="P537" i="1"/>
  <c r="N537" i="1"/>
  <c r="O537" i="1" s="1"/>
  <c r="K537" i="1"/>
  <c r="P536" i="1"/>
  <c r="N536" i="1"/>
  <c r="O536" i="1" s="1"/>
  <c r="K536" i="1" s="1"/>
  <c r="P535" i="1"/>
  <c r="N535" i="1"/>
  <c r="O535" i="1" s="1"/>
  <c r="K535" i="1"/>
  <c r="P534" i="1"/>
  <c r="N534" i="1"/>
  <c r="O534" i="1" s="1"/>
  <c r="K534" i="1" s="1"/>
  <c r="P533" i="1"/>
  <c r="N533" i="1"/>
  <c r="O533" i="1" s="1"/>
  <c r="K533" i="1"/>
  <c r="P532" i="1"/>
  <c r="N532" i="1"/>
  <c r="O532" i="1" s="1"/>
  <c r="K532" i="1" s="1"/>
  <c r="P531" i="1"/>
  <c r="K531" i="1" s="1"/>
  <c r="N531" i="1"/>
  <c r="O531" i="1" s="1"/>
  <c r="P530" i="1"/>
  <c r="N530" i="1"/>
  <c r="O530" i="1" s="1"/>
  <c r="P529" i="1"/>
  <c r="K529" i="1" s="1"/>
  <c r="N529" i="1"/>
  <c r="O529" i="1" s="1"/>
  <c r="P528" i="1"/>
  <c r="N528" i="1"/>
  <c r="O528" i="1" s="1"/>
  <c r="P527" i="1"/>
  <c r="N527" i="1"/>
  <c r="O527" i="1" s="1"/>
  <c r="K527" i="1" s="1"/>
  <c r="P526" i="1"/>
  <c r="N526" i="1"/>
  <c r="O526" i="1" s="1"/>
  <c r="P525" i="1"/>
  <c r="N525" i="1"/>
  <c r="O525" i="1" s="1"/>
  <c r="P524" i="1"/>
  <c r="O524" i="1"/>
  <c r="K524" i="1" s="1"/>
  <c r="N524" i="1"/>
  <c r="P523" i="1"/>
  <c r="N523" i="1"/>
  <c r="O523" i="1" s="1"/>
  <c r="K523" i="1" s="1"/>
  <c r="P522" i="1"/>
  <c r="N522" i="1"/>
  <c r="O522" i="1" s="1"/>
  <c r="K522" i="1" s="1"/>
  <c r="P521" i="1"/>
  <c r="N521" i="1"/>
  <c r="O521" i="1" s="1"/>
  <c r="K521" i="1" s="1"/>
  <c r="P520" i="1"/>
  <c r="N520" i="1"/>
  <c r="O520" i="1" s="1"/>
  <c r="K520" i="1" s="1"/>
  <c r="P519" i="1"/>
  <c r="N519" i="1"/>
  <c r="O519" i="1" s="1"/>
  <c r="P518" i="1"/>
  <c r="N518" i="1"/>
  <c r="O518" i="1" s="1"/>
  <c r="K518" i="1" s="1"/>
  <c r="P517" i="1"/>
  <c r="N517" i="1"/>
  <c r="O517" i="1" s="1"/>
  <c r="K517" i="1" s="1"/>
  <c r="P516" i="1"/>
  <c r="N516" i="1"/>
  <c r="O516" i="1" s="1"/>
  <c r="K516" i="1" s="1"/>
  <c r="P515" i="1"/>
  <c r="N515" i="1"/>
  <c r="O515" i="1" s="1"/>
  <c r="P514" i="1"/>
  <c r="N514" i="1"/>
  <c r="O514" i="1" s="1"/>
  <c r="K514" i="1" s="1"/>
  <c r="P513" i="1"/>
  <c r="N513" i="1"/>
  <c r="O513" i="1" s="1"/>
  <c r="K513" i="1" s="1"/>
  <c r="P512" i="1"/>
  <c r="N512" i="1"/>
  <c r="O512" i="1" s="1"/>
  <c r="K512" i="1" s="1"/>
  <c r="P511" i="1"/>
  <c r="N511" i="1"/>
  <c r="O511" i="1" s="1"/>
  <c r="K511" i="1"/>
  <c r="N510" i="1"/>
  <c r="O510" i="1" s="1"/>
  <c r="K510" i="1" s="1"/>
  <c r="C510" i="1"/>
  <c r="P510" i="1" s="1"/>
  <c r="P509" i="1"/>
  <c r="O509" i="1"/>
  <c r="K509" i="1" s="1"/>
  <c r="N509" i="1"/>
  <c r="C509" i="1"/>
  <c r="N508" i="1"/>
  <c r="O508" i="1" s="1"/>
  <c r="C508" i="1"/>
  <c r="P508" i="1" s="1"/>
  <c r="P507" i="1"/>
  <c r="N507" i="1"/>
  <c r="O507" i="1" s="1"/>
  <c r="P506" i="1"/>
  <c r="O506" i="1"/>
  <c r="N506" i="1"/>
  <c r="K506" i="1"/>
  <c r="P505" i="1"/>
  <c r="N505" i="1"/>
  <c r="O505" i="1" s="1"/>
  <c r="K505" i="1" s="1"/>
  <c r="P504" i="1"/>
  <c r="O504" i="1"/>
  <c r="N504" i="1"/>
  <c r="K504" i="1"/>
  <c r="P503" i="1"/>
  <c r="N503" i="1"/>
  <c r="O503" i="1" s="1"/>
  <c r="K503" i="1" s="1"/>
  <c r="P502" i="1"/>
  <c r="O502" i="1"/>
  <c r="K502" i="1" s="1"/>
  <c r="N502" i="1"/>
  <c r="P501" i="1"/>
  <c r="N501" i="1"/>
  <c r="O501" i="1" s="1"/>
  <c r="K501" i="1" s="1"/>
  <c r="P500" i="1"/>
  <c r="O500" i="1"/>
  <c r="N500" i="1"/>
  <c r="K500" i="1"/>
  <c r="P499" i="1"/>
  <c r="N499" i="1"/>
  <c r="O499" i="1" s="1"/>
  <c r="P498" i="1"/>
  <c r="O498" i="1"/>
  <c r="N498" i="1"/>
  <c r="K498" i="1"/>
  <c r="P497" i="1"/>
  <c r="N497" i="1"/>
  <c r="O497" i="1" s="1"/>
  <c r="K497" i="1" s="1"/>
  <c r="P496" i="1"/>
  <c r="O496" i="1"/>
  <c r="N496" i="1"/>
  <c r="K496" i="1"/>
  <c r="P495" i="1"/>
  <c r="N495" i="1"/>
  <c r="O495" i="1" s="1"/>
  <c r="K495" i="1" s="1"/>
  <c r="P494" i="1"/>
  <c r="O494" i="1"/>
  <c r="K494" i="1" s="1"/>
  <c r="N494" i="1"/>
  <c r="N493" i="1"/>
  <c r="O493" i="1" s="1"/>
  <c r="D493" i="1"/>
  <c r="C493" i="1"/>
  <c r="P493" i="1" s="1"/>
  <c r="P492" i="1"/>
  <c r="O492" i="1"/>
  <c r="K492" i="1" s="1"/>
  <c r="N492" i="1"/>
  <c r="D492" i="1"/>
  <c r="P491" i="1"/>
  <c r="N491" i="1"/>
  <c r="O491" i="1" s="1"/>
  <c r="K491" i="1" s="1"/>
  <c r="P490" i="1"/>
  <c r="O490" i="1"/>
  <c r="K490" i="1" s="1"/>
  <c r="N490" i="1"/>
  <c r="P489" i="1"/>
  <c r="N489" i="1"/>
  <c r="O489" i="1" s="1"/>
  <c r="K489" i="1" s="1"/>
  <c r="P488" i="1"/>
  <c r="O488" i="1"/>
  <c r="N488" i="1"/>
  <c r="P487" i="1"/>
  <c r="N487" i="1"/>
  <c r="O487" i="1" s="1"/>
  <c r="K487" i="1" s="1"/>
  <c r="P486" i="1"/>
  <c r="O486" i="1"/>
  <c r="K486" i="1" s="1"/>
  <c r="N486" i="1"/>
  <c r="N485" i="1"/>
  <c r="O485" i="1" s="1"/>
  <c r="K485" i="1" s="1"/>
  <c r="D485" i="1"/>
  <c r="P485" i="1" s="1"/>
  <c r="P484" i="1"/>
  <c r="N484" i="1"/>
  <c r="O484" i="1" s="1"/>
  <c r="D484" i="1"/>
  <c r="P483" i="1"/>
  <c r="N483" i="1"/>
  <c r="O483" i="1" s="1"/>
  <c r="K483" i="1" s="1"/>
  <c r="C483" i="1"/>
  <c r="O482" i="1"/>
  <c r="N482" i="1"/>
  <c r="C482" i="1"/>
  <c r="P482" i="1" s="1"/>
  <c r="K482" i="1" s="1"/>
  <c r="P481" i="1"/>
  <c r="O481" i="1"/>
  <c r="K481" i="1" s="1"/>
  <c r="N481" i="1"/>
  <c r="P480" i="1"/>
  <c r="N480" i="1"/>
  <c r="O480" i="1" s="1"/>
  <c r="K480" i="1" s="1"/>
  <c r="P479" i="1"/>
  <c r="O479" i="1"/>
  <c r="N479" i="1"/>
  <c r="P478" i="1"/>
  <c r="N478" i="1"/>
  <c r="O478" i="1" s="1"/>
  <c r="K478" i="1" s="1"/>
  <c r="P477" i="1"/>
  <c r="O477" i="1"/>
  <c r="N477" i="1"/>
  <c r="P476" i="1"/>
  <c r="N476" i="1"/>
  <c r="O476" i="1" s="1"/>
  <c r="K476" i="1" s="1"/>
  <c r="P475" i="1"/>
  <c r="O475" i="1"/>
  <c r="N475" i="1"/>
  <c r="P474" i="1"/>
  <c r="N474" i="1"/>
  <c r="O474" i="1" s="1"/>
  <c r="K474" i="1" s="1"/>
  <c r="P473" i="1"/>
  <c r="O473" i="1"/>
  <c r="K473" i="1" s="1"/>
  <c r="N473" i="1"/>
  <c r="P472" i="1"/>
  <c r="N472" i="1"/>
  <c r="O472" i="1" s="1"/>
  <c r="K472" i="1" s="1"/>
  <c r="P471" i="1"/>
  <c r="O471" i="1"/>
  <c r="N471" i="1"/>
  <c r="P470" i="1"/>
  <c r="N470" i="1"/>
  <c r="O470" i="1" s="1"/>
  <c r="K470" i="1" s="1"/>
  <c r="P469" i="1"/>
  <c r="O469" i="1"/>
  <c r="K469" i="1" s="1"/>
  <c r="N469" i="1"/>
  <c r="P468" i="1"/>
  <c r="N468" i="1"/>
  <c r="O468" i="1" s="1"/>
  <c r="K468" i="1" s="1"/>
  <c r="P467" i="1"/>
  <c r="O467" i="1"/>
  <c r="N467" i="1"/>
  <c r="P466" i="1"/>
  <c r="N466" i="1"/>
  <c r="O466" i="1" s="1"/>
  <c r="K466" i="1" s="1"/>
  <c r="P465" i="1"/>
  <c r="O465" i="1"/>
  <c r="K465" i="1" s="1"/>
  <c r="N465" i="1"/>
  <c r="P464" i="1"/>
  <c r="N464" i="1"/>
  <c r="O464" i="1" s="1"/>
  <c r="K464" i="1" s="1"/>
  <c r="P463" i="1"/>
  <c r="O463" i="1"/>
  <c r="N463" i="1"/>
  <c r="P462" i="1"/>
  <c r="N462" i="1"/>
  <c r="O462" i="1" s="1"/>
  <c r="K462" i="1" s="1"/>
  <c r="P461" i="1"/>
  <c r="O461" i="1"/>
  <c r="N461" i="1"/>
  <c r="P460" i="1"/>
  <c r="N460" i="1"/>
  <c r="O460" i="1" s="1"/>
  <c r="K460" i="1" s="1"/>
  <c r="P459" i="1"/>
  <c r="O459" i="1"/>
  <c r="N459" i="1"/>
  <c r="P458" i="1"/>
  <c r="N458" i="1"/>
  <c r="O458" i="1" s="1"/>
  <c r="K458" i="1" s="1"/>
  <c r="P457" i="1"/>
  <c r="O457" i="1"/>
  <c r="K457" i="1" s="1"/>
  <c r="N457" i="1"/>
  <c r="P456" i="1"/>
  <c r="N456" i="1"/>
  <c r="O456" i="1" s="1"/>
  <c r="P455" i="1"/>
  <c r="O455" i="1"/>
  <c r="N455" i="1"/>
  <c r="P454" i="1"/>
  <c r="N454" i="1"/>
  <c r="O454" i="1" s="1"/>
  <c r="K454" i="1" s="1"/>
  <c r="P453" i="1"/>
  <c r="O453" i="1"/>
  <c r="K453" i="1" s="1"/>
  <c r="N453" i="1"/>
  <c r="P452" i="1"/>
  <c r="N452" i="1"/>
  <c r="O452" i="1" s="1"/>
  <c r="P451" i="1"/>
  <c r="O451" i="1"/>
  <c r="N451" i="1"/>
  <c r="N450" i="1"/>
  <c r="P449" i="1"/>
  <c r="O449" i="1"/>
  <c r="N449" i="1"/>
  <c r="K449" i="1"/>
  <c r="P448" i="1"/>
  <c r="N448" i="1"/>
  <c r="O448" i="1" s="1"/>
  <c r="K448" i="1"/>
  <c r="P447" i="1"/>
  <c r="O447" i="1"/>
  <c r="N447" i="1"/>
  <c r="K447" i="1"/>
  <c r="P446" i="1"/>
  <c r="N446" i="1"/>
  <c r="O446" i="1" s="1"/>
  <c r="K446" i="1" s="1"/>
  <c r="C446" i="1"/>
  <c r="P445" i="1"/>
  <c r="O445" i="1"/>
  <c r="N445" i="1"/>
  <c r="K445" i="1"/>
  <c r="C445" i="1"/>
  <c r="O444" i="1"/>
  <c r="N444" i="1"/>
  <c r="K444" i="1"/>
  <c r="C444" i="1"/>
  <c r="P444" i="1" s="1"/>
  <c r="P443" i="1"/>
  <c r="O443" i="1"/>
  <c r="N443" i="1"/>
  <c r="P442" i="1"/>
  <c r="N442" i="1"/>
  <c r="O442" i="1" s="1"/>
  <c r="K442" i="1" s="1"/>
  <c r="C442" i="1"/>
  <c r="P441" i="1"/>
  <c r="N441" i="1"/>
  <c r="O441" i="1" s="1"/>
  <c r="K441" i="1" s="1"/>
  <c r="C441" i="1"/>
  <c r="P440" i="1"/>
  <c r="K440" i="1" s="1"/>
  <c r="O440" i="1"/>
  <c r="N440" i="1"/>
  <c r="C440" i="1"/>
  <c r="O439" i="1"/>
  <c r="N439" i="1"/>
  <c r="K439" i="1"/>
  <c r="C439" i="1"/>
  <c r="P439" i="1" s="1"/>
  <c r="P438" i="1"/>
  <c r="O438" i="1"/>
  <c r="N438" i="1"/>
  <c r="P437" i="1"/>
  <c r="N437" i="1"/>
  <c r="O437" i="1" s="1"/>
  <c r="K437" i="1" s="1"/>
  <c r="P436" i="1"/>
  <c r="O436" i="1"/>
  <c r="N436" i="1"/>
  <c r="P435" i="1"/>
  <c r="N435" i="1"/>
  <c r="O435" i="1" s="1"/>
  <c r="K435" i="1" s="1"/>
  <c r="P434" i="1"/>
  <c r="O434" i="1"/>
  <c r="N434" i="1"/>
  <c r="C434" i="1"/>
  <c r="P433" i="1"/>
  <c r="N433" i="1"/>
  <c r="O433" i="1" s="1"/>
  <c r="K433" i="1" s="1"/>
  <c r="N432" i="1"/>
  <c r="K432" i="1"/>
  <c r="P431" i="1"/>
  <c r="O431" i="1"/>
  <c r="K431" i="1" s="1"/>
  <c r="N431" i="1"/>
  <c r="P430" i="1"/>
  <c r="N430" i="1"/>
  <c r="O430" i="1" s="1"/>
  <c r="K430" i="1" s="1"/>
  <c r="O429" i="1"/>
  <c r="N429" i="1"/>
  <c r="K429" i="1"/>
  <c r="C429" i="1"/>
  <c r="P429" i="1" s="1"/>
  <c r="O428" i="1"/>
  <c r="N428" i="1"/>
  <c r="C428" i="1"/>
  <c r="P428" i="1" s="1"/>
  <c r="N427" i="1"/>
  <c r="O427" i="1" s="1"/>
  <c r="K427" i="1" s="1"/>
  <c r="C427" i="1"/>
  <c r="P427" i="1" s="1"/>
  <c r="P426" i="1"/>
  <c r="N426" i="1"/>
  <c r="O426" i="1" s="1"/>
  <c r="K426" i="1" s="1"/>
  <c r="P425" i="1"/>
  <c r="O425" i="1"/>
  <c r="N425" i="1"/>
  <c r="K425" i="1"/>
  <c r="P424" i="1"/>
  <c r="N424" i="1"/>
  <c r="O424" i="1" s="1"/>
  <c r="K424" i="1" s="1"/>
  <c r="P423" i="1"/>
  <c r="O423" i="1"/>
  <c r="N423" i="1"/>
  <c r="K423" i="1"/>
  <c r="C423" i="1"/>
  <c r="O422" i="1"/>
  <c r="K422" i="1" s="1"/>
  <c r="N422" i="1"/>
  <c r="C422" i="1"/>
  <c r="P422" i="1" s="1"/>
  <c r="P421" i="1"/>
  <c r="O421" i="1"/>
  <c r="N421" i="1"/>
  <c r="C421" i="1"/>
  <c r="P420" i="1"/>
  <c r="O420" i="1"/>
  <c r="K420" i="1" s="1"/>
  <c r="N420" i="1"/>
  <c r="P419" i="1"/>
  <c r="N419" i="1"/>
  <c r="O419" i="1" s="1"/>
  <c r="K419" i="1"/>
  <c r="P418" i="1"/>
  <c r="O418" i="1"/>
  <c r="K418" i="1" s="1"/>
  <c r="N418" i="1"/>
  <c r="P417" i="1"/>
  <c r="N417" i="1"/>
  <c r="O417" i="1" s="1"/>
  <c r="K417" i="1" s="1"/>
  <c r="P416" i="1"/>
  <c r="N416" i="1"/>
  <c r="O416" i="1" s="1"/>
  <c r="K416" i="1" s="1"/>
  <c r="P415" i="1"/>
  <c r="N415" i="1"/>
  <c r="O415" i="1" s="1"/>
  <c r="K415" i="1"/>
  <c r="N414" i="1"/>
  <c r="O414" i="1" s="1"/>
  <c r="K414" i="1" s="1"/>
  <c r="C414" i="1"/>
  <c r="P414" i="1" s="1"/>
  <c r="N413" i="1"/>
  <c r="O413" i="1" s="1"/>
  <c r="K413" i="1" s="1"/>
  <c r="C413" i="1"/>
  <c r="P413" i="1" s="1"/>
  <c r="P412" i="1"/>
  <c r="O412" i="1"/>
  <c r="K412" i="1" s="1"/>
  <c r="N412" i="1"/>
  <c r="P411" i="1"/>
  <c r="O411" i="1"/>
  <c r="N411" i="1"/>
  <c r="K411" i="1"/>
  <c r="P410" i="1"/>
  <c r="N410" i="1"/>
  <c r="O410" i="1" s="1"/>
  <c r="K410" i="1" s="1"/>
  <c r="P409" i="1"/>
  <c r="O409" i="1"/>
  <c r="N409" i="1"/>
  <c r="K409" i="1"/>
  <c r="P408" i="1"/>
  <c r="O408" i="1"/>
  <c r="N408" i="1"/>
  <c r="P407" i="1"/>
  <c r="O407" i="1"/>
  <c r="N407" i="1"/>
  <c r="K407" i="1"/>
  <c r="P406" i="1"/>
  <c r="O406" i="1"/>
  <c r="N406" i="1"/>
  <c r="C406" i="1"/>
  <c r="P405" i="1"/>
  <c r="N405" i="1"/>
  <c r="O405" i="1" s="1"/>
  <c r="K405" i="1"/>
  <c r="C405" i="1"/>
  <c r="P404" i="1"/>
  <c r="N404" i="1"/>
  <c r="O404" i="1" s="1"/>
  <c r="K404" i="1" s="1"/>
  <c r="P403" i="1"/>
  <c r="O403" i="1"/>
  <c r="N403" i="1"/>
  <c r="K403" i="1"/>
  <c r="P402" i="1"/>
  <c r="N402" i="1"/>
  <c r="O402" i="1" s="1"/>
  <c r="K402" i="1" s="1"/>
  <c r="P401" i="1"/>
  <c r="N401" i="1"/>
  <c r="O401" i="1" s="1"/>
  <c r="K401" i="1" s="1"/>
  <c r="P400" i="1"/>
  <c r="N400" i="1"/>
  <c r="O400" i="1" s="1"/>
  <c r="K400" i="1"/>
  <c r="C400" i="1"/>
  <c r="P399" i="1"/>
  <c r="N399" i="1"/>
  <c r="O399" i="1" s="1"/>
  <c r="K399" i="1" s="1"/>
  <c r="C399" i="1"/>
  <c r="P398" i="1"/>
  <c r="O398" i="1"/>
  <c r="K398" i="1" s="1"/>
  <c r="N398" i="1"/>
  <c r="P397" i="1"/>
  <c r="O397" i="1"/>
  <c r="K397" i="1" s="1"/>
  <c r="N397" i="1"/>
  <c r="C397" i="1"/>
  <c r="P396" i="1"/>
  <c r="N396" i="1"/>
  <c r="O396" i="1" s="1"/>
  <c r="K396" i="1" s="1"/>
  <c r="C396" i="1"/>
  <c r="P395" i="1"/>
  <c r="N395" i="1"/>
  <c r="O395" i="1" s="1"/>
  <c r="K395" i="1" s="1"/>
  <c r="C395" i="1"/>
  <c r="P394" i="1"/>
  <c r="O394" i="1"/>
  <c r="K394" i="1" s="1"/>
  <c r="N394" i="1"/>
  <c r="P393" i="1"/>
  <c r="N393" i="1"/>
  <c r="O393" i="1" s="1"/>
  <c r="K393" i="1" s="1"/>
  <c r="P392" i="1"/>
  <c r="O392" i="1"/>
  <c r="N392" i="1"/>
  <c r="K392" i="1"/>
  <c r="P391" i="1"/>
  <c r="N391" i="1"/>
  <c r="O391" i="1" s="1"/>
  <c r="K391" i="1" s="1"/>
  <c r="P390" i="1"/>
  <c r="O390" i="1"/>
  <c r="N390" i="1"/>
  <c r="K390" i="1"/>
  <c r="P389" i="1"/>
  <c r="N389" i="1"/>
  <c r="O389" i="1" s="1"/>
  <c r="K389" i="1" s="1"/>
  <c r="Q388" i="1"/>
  <c r="P388" i="1"/>
  <c r="N388" i="1"/>
  <c r="O388" i="1" s="1"/>
  <c r="K388" i="1" s="1"/>
  <c r="P387" i="1"/>
  <c r="O387" i="1"/>
  <c r="N387" i="1"/>
  <c r="K387" i="1"/>
  <c r="P386" i="1"/>
  <c r="O386" i="1"/>
  <c r="N386" i="1"/>
  <c r="P385" i="1"/>
  <c r="O385" i="1"/>
  <c r="N385" i="1"/>
  <c r="K385" i="1"/>
  <c r="P384" i="1"/>
  <c r="O384" i="1"/>
  <c r="K384" i="1" s="1"/>
  <c r="N384" i="1"/>
  <c r="P383" i="1"/>
  <c r="O383" i="1"/>
  <c r="N383" i="1"/>
  <c r="K383" i="1"/>
  <c r="P382" i="1"/>
  <c r="N382" i="1"/>
  <c r="O382" i="1" s="1"/>
  <c r="K382" i="1" s="1"/>
  <c r="P381" i="1"/>
  <c r="O381" i="1"/>
  <c r="N381" i="1"/>
  <c r="K381" i="1"/>
  <c r="P380" i="1"/>
  <c r="N380" i="1"/>
  <c r="O380" i="1" s="1"/>
  <c r="K380" i="1" s="1"/>
  <c r="P379" i="1"/>
  <c r="O379" i="1"/>
  <c r="N379" i="1"/>
  <c r="K379" i="1"/>
  <c r="P378" i="1"/>
  <c r="O378" i="1"/>
  <c r="K378" i="1" s="1"/>
  <c r="N378" i="1"/>
  <c r="P377" i="1"/>
  <c r="O377" i="1"/>
  <c r="K377" i="1" s="1"/>
  <c r="N377" i="1"/>
  <c r="P376" i="1"/>
  <c r="N376" i="1"/>
  <c r="O376" i="1" s="1"/>
  <c r="K376" i="1" s="1"/>
  <c r="P375" i="1"/>
  <c r="O375" i="1"/>
  <c r="K375" i="1" s="1"/>
  <c r="N375" i="1"/>
  <c r="P374" i="1"/>
  <c r="O374" i="1"/>
  <c r="K374" i="1" s="1"/>
  <c r="N374" i="1"/>
  <c r="P373" i="1"/>
  <c r="O373" i="1"/>
  <c r="N373" i="1"/>
  <c r="K373" i="1"/>
  <c r="P372" i="1"/>
  <c r="N372" i="1"/>
  <c r="O372" i="1" s="1"/>
  <c r="K372" i="1" s="1"/>
  <c r="P371" i="1"/>
  <c r="O371" i="1"/>
  <c r="N371" i="1"/>
  <c r="K371" i="1"/>
  <c r="P370" i="1"/>
  <c r="O370" i="1"/>
  <c r="N370" i="1"/>
  <c r="P369" i="1"/>
  <c r="O369" i="1"/>
  <c r="N369" i="1"/>
  <c r="K369" i="1"/>
  <c r="P368" i="1"/>
  <c r="O368" i="1"/>
  <c r="K368" i="1" s="1"/>
  <c r="N368" i="1"/>
  <c r="P367" i="1"/>
  <c r="O367" i="1"/>
  <c r="N367" i="1"/>
  <c r="K367" i="1"/>
  <c r="P366" i="1"/>
  <c r="N366" i="1"/>
  <c r="O366" i="1" s="1"/>
  <c r="K366" i="1" s="1"/>
  <c r="P365" i="1"/>
  <c r="O365" i="1"/>
  <c r="N365" i="1"/>
  <c r="K365" i="1"/>
  <c r="P364" i="1"/>
  <c r="N364" i="1"/>
  <c r="O364" i="1" s="1"/>
  <c r="K364" i="1" s="1"/>
  <c r="P363" i="1"/>
  <c r="O363" i="1"/>
  <c r="N363" i="1"/>
  <c r="K363" i="1"/>
  <c r="P362" i="1"/>
  <c r="O362" i="1"/>
  <c r="K362" i="1" s="1"/>
  <c r="N362" i="1"/>
  <c r="P361" i="1"/>
  <c r="O361" i="1"/>
  <c r="K361" i="1" s="1"/>
  <c r="N361" i="1"/>
  <c r="P360" i="1"/>
  <c r="N360" i="1"/>
  <c r="O360" i="1" s="1"/>
  <c r="K360" i="1" s="1"/>
  <c r="P359" i="1"/>
  <c r="O359" i="1"/>
  <c r="K359" i="1" s="1"/>
  <c r="N359" i="1"/>
  <c r="P358" i="1"/>
  <c r="O358" i="1"/>
  <c r="K358" i="1" s="1"/>
  <c r="N358" i="1"/>
  <c r="P357" i="1"/>
  <c r="O357" i="1"/>
  <c r="N357" i="1"/>
  <c r="K357" i="1"/>
  <c r="P356" i="1"/>
  <c r="N356" i="1"/>
  <c r="O356" i="1" s="1"/>
  <c r="K356" i="1" s="1"/>
  <c r="P355" i="1"/>
  <c r="O355" i="1"/>
  <c r="N355" i="1"/>
  <c r="K355" i="1"/>
  <c r="P354" i="1"/>
  <c r="O354" i="1"/>
  <c r="N354" i="1"/>
  <c r="P353" i="1"/>
  <c r="O353" i="1"/>
  <c r="N353" i="1"/>
  <c r="K353" i="1"/>
  <c r="P352" i="1"/>
  <c r="O352" i="1"/>
  <c r="K352" i="1" s="1"/>
  <c r="N352" i="1"/>
  <c r="P351" i="1"/>
  <c r="O351" i="1"/>
  <c r="N351" i="1"/>
  <c r="K351" i="1"/>
  <c r="P350" i="1"/>
  <c r="N350" i="1"/>
  <c r="O350" i="1" s="1"/>
  <c r="K350" i="1" s="1"/>
  <c r="P349" i="1"/>
  <c r="O349" i="1"/>
  <c r="K349" i="1" s="1"/>
  <c r="N349" i="1"/>
  <c r="P348" i="1"/>
  <c r="N348" i="1"/>
  <c r="O348" i="1" s="1"/>
  <c r="K348" i="1" s="1"/>
  <c r="P347" i="1"/>
  <c r="O347" i="1"/>
  <c r="N347" i="1"/>
  <c r="K347" i="1"/>
  <c r="P346" i="1"/>
  <c r="O346" i="1"/>
  <c r="K346" i="1" s="1"/>
  <c r="N346" i="1"/>
  <c r="P345" i="1"/>
  <c r="O345" i="1"/>
  <c r="K345" i="1" s="1"/>
  <c r="N345" i="1"/>
  <c r="P344" i="1"/>
  <c r="N344" i="1"/>
  <c r="O344" i="1" s="1"/>
  <c r="K344" i="1" s="1"/>
  <c r="P343" i="1"/>
  <c r="O343" i="1"/>
  <c r="K343" i="1" s="1"/>
  <c r="N343" i="1"/>
  <c r="P342" i="1"/>
  <c r="O342" i="1"/>
  <c r="K342" i="1" s="1"/>
  <c r="N342" i="1"/>
  <c r="P341" i="1"/>
  <c r="N341" i="1"/>
  <c r="O341" i="1" s="1"/>
  <c r="K341" i="1"/>
  <c r="P340" i="1"/>
  <c r="N340" i="1"/>
  <c r="O340" i="1" s="1"/>
  <c r="K340" i="1" s="1"/>
  <c r="P339" i="1"/>
  <c r="O339" i="1"/>
  <c r="N339" i="1"/>
  <c r="K339" i="1"/>
  <c r="P338" i="1"/>
  <c r="O338" i="1"/>
  <c r="N338" i="1"/>
  <c r="P337" i="1"/>
  <c r="N337" i="1"/>
  <c r="O337" i="1" s="1"/>
  <c r="K337" i="1" s="1"/>
  <c r="P336" i="1"/>
  <c r="O336" i="1"/>
  <c r="K336" i="1" s="1"/>
  <c r="N336" i="1"/>
  <c r="P335" i="1"/>
  <c r="O335" i="1"/>
  <c r="N335" i="1"/>
  <c r="K335" i="1"/>
  <c r="P334" i="1"/>
  <c r="N334" i="1"/>
  <c r="O334" i="1" s="1"/>
  <c r="K334" i="1" s="1"/>
  <c r="P333" i="1"/>
  <c r="N333" i="1"/>
  <c r="O333" i="1" s="1"/>
  <c r="K333" i="1" s="1"/>
  <c r="P332" i="1"/>
  <c r="N332" i="1"/>
  <c r="O332" i="1" s="1"/>
  <c r="K332" i="1" s="1"/>
  <c r="P331" i="1"/>
  <c r="K331" i="1" s="1"/>
  <c r="O331" i="1"/>
  <c r="N331" i="1"/>
  <c r="P330" i="1"/>
  <c r="O330" i="1"/>
  <c r="K330" i="1" s="1"/>
  <c r="N330" i="1"/>
  <c r="P329" i="1"/>
  <c r="O329" i="1"/>
  <c r="K329" i="1" s="1"/>
  <c r="N329" i="1"/>
  <c r="P328" i="1"/>
  <c r="N328" i="1"/>
  <c r="O328" i="1" s="1"/>
  <c r="K328" i="1" s="1"/>
  <c r="P327" i="1"/>
  <c r="N327" i="1"/>
  <c r="O327" i="1" s="1"/>
  <c r="K327" i="1" s="1"/>
  <c r="P326" i="1"/>
  <c r="O326" i="1"/>
  <c r="K326" i="1" s="1"/>
  <c r="N326" i="1"/>
  <c r="P325" i="1"/>
  <c r="N325" i="1"/>
  <c r="O325" i="1" s="1"/>
  <c r="K325" i="1"/>
  <c r="P324" i="1"/>
  <c r="N324" i="1"/>
  <c r="O324" i="1" s="1"/>
  <c r="K324" i="1" s="1"/>
  <c r="P323" i="1"/>
  <c r="O323" i="1"/>
  <c r="N323" i="1"/>
  <c r="K323" i="1"/>
  <c r="P322" i="1"/>
  <c r="O322" i="1"/>
  <c r="N322" i="1"/>
  <c r="P321" i="1"/>
  <c r="N321" i="1"/>
  <c r="O321" i="1" s="1"/>
  <c r="K321" i="1" s="1"/>
  <c r="P320" i="1"/>
  <c r="O320" i="1"/>
  <c r="K320" i="1" s="1"/>
  <c r="N320" i="1"/>
  <c r="P319" i="1"/>
  <c r="O319" i="1"/>
  <c r="N319" i="1"/>
  <c r="K319" i="1"/>
  <c r="P318" i="1"/>
  <c r="N318" i="1"/>
  <c r="O318" i="1" s="1"/>
  <c r="K318" i="1" s="1"/>
  <c r="P317" i="1"/>
  <c r="N317" i="1"/>
  <c r="O317" i="1" s="1"/>
  <c r="K317" i="1" s="1"/>
  <c r="P316" i="1"/>
  <c r="N316" i="1"/>
  <c r="O316" i="1" s="1"/>
  <c r="K316" i="1" s="1"/>
  <c r="P315" i="1"/>
  <c r="K315" i="1" s="1"/>
  <c r="O315" i="1"/>
  <c r="N315" i="1"/>
  <c r="P314" i="1"/>
  <c r="O314" i="1"/>
  <c r="K314" i="1" s="1"/>
  <c r="N314" i="1"/>
  <c r="P313" i="1"/>
  <c r="O313" i="1"/>
  <c r="K313" i="1" s="1"/>
  <c r="N313" i="1"/>
  <c r="P312" i="1"/>
  <c r="N312" i="1"/>
  <c r="O312" i="1" s="1"/>
  <c r="K312" i="1" s="1"/>
  <c r="P311" i="1"/>
  <c r="N311" i="1"/>
  <c r="O311" i="1" s="1"/>
  <c r="K311" i="1" s="1"/>
  <c r="P310" i="1"/>
  <c r="O310" i="1"/>
  <c r="K310" i="1" s="1"/>
  <c r="N310" i="1"/>
  <c r="P309" i="1"/>
  <c r="N309" i="1"/>
  <c r="O309" i="1" s="1"/>
  <c r="K309" i="1"/>
  <c r="P308" i="1"/>
  <c r="N308" i="1"/>
  <c r="O308" i="1" s="1"/>
  <c r="K308" i="1" s="1"/>
  <c r="P307" i="1"/>
  <c r="O307" i="1"/>
  <c r="N307" i="1"/>
  <c r="K307" i="1"/>
  <c r="P306" i="1"/>
  <c r="O306" i="1"/>
  <c r="N306" i="1"/>
  <c r="P305" i="1"/>
  <c r="N305" i="1"/>
  <c r="O305" i="1" s="1"/>
  <c r="K305" i="1" s="1"/>
  <c r="P304" i="1"/>
  <c r="O304" i="1"/>
  <c r="K304" i="1" s="1"/>
  <c r="N304" i="1"/>
  <c r="P303" i="1"/>
  <c r="O303" i="1"/>
  <c r="N303" i="1"/>
  <c r="K303" i="1"/>
  <c r="P302" i="1"/>
  <c r="N302" i="1"/>
  <c r="O302" i="1" s="1"/>
  <c r="K302" i="1" s="1"/>
  <c r="N301" i="1"/>
  <c r="N300" i="1"/>
  <c r="N299" i="1"/>
  <c r="O298" i="1"/>
  <c r="N298" i="1"/>
  <c r="C298" i="1"/>
  <c r="P298" i="1" s="1"/>
  <c r="K298" i="1" s="1"/>
  <c r="N297" i="1"/>
  <c r="O297" i="1" s="1"/>
  <c r="K297" i="1" s="1"/>
  <c r="C297" i="1"/>
  <c r="P297" i="1" s="1"/>
  <c r="P296" i="1"/>
  <c r="N296" i="1"/>
  <c r="O296" i="1" s="1"/>
  <c r="K296" i="1" s="1"/>
  <c r="C296" i="1"/>
  <c r="N295" i="1"/>
  <c r="O295" i="1" s="1"/>
  <c r="K295" i="1" s="1"/>
  <c r="C295" i="1"/>
  <c r="P295" i="1" s="1"/>
  <c r="P294" i="1"/>
  <c r="K294" i="1" s="1"/>
  <c r="O294" i="1"/>
  <c r="N294" i="1"/>
  <c r="P293" i="1"/>
  <c r="O293" i="1"/>
  <c r="N293" i="1"/>
  <c r="K293" i="1"/>
  <c r="P292" i="1"/>
  <c r="K292" i="1" s="1"/>
  <c r="O292" i="1"/>
  <c r="N292" i="1"/>
  <c r="P291" i="1"/>
  <c r="O291" i="1"/>
  <c r="N291" i="1"/>
  <c r="K291" i="1"/>
  <c r="P290" i="1"/>
  <c r="K290" i="1" s="1"/>
  <c r="O290" i="1"/>
  <c r="N290" i="1"/>
  <c r="P289" i="1"/>
  <c r="O289" i="1"/>
  <c r="N289" i="1"/>
  <c r="K289" i="1"/>
  <c r="P288" i="1"/>
  <c r="K288" i="1" s="1"/>
  <c r="O288" i="1"/>
  <c r="N288" i="1"/>
  <c r="P287" i="1"/>
  <c r="O287" i="1"/>
  <c r="N287" i="1"/>
  <c r="K287" i="1"/>
  <c r="P286" i="1"/>
  <c r="K286" i="1" s="1"/>
  <c r="O286" i="1"/>
  <c r="N286" i="1"/>
  <c r="P285" i="1"/>
  <c r="O285" i="1"/>
  <c r="N285" i="1"/>
  <c r="K285" i="1"/>
  <c r="P284" i="1"/>
  <c r="K284" i="1" s="1"/>
  <c r="O284" i="1"/>
  <c r="N284" i="1"/>
  <c r="P283" i="1"/>
  <c r="O283" i="1"/>
  <c r="N283" i="1"/>
  <c r="K283" i="1"/>
  <c r="P282" i="1"/>
  <c r="K282" i="1" s="1"/>
  <c r="O282" i="1"/>
  <c r="N282" i="1"/>
  <c r="P281" i="1"/>
  <c r="O281" i="1"/>
  <c r="N281" i="1"/>
  <c r="K281" i="1"/>
  <c r="P280" i="1"/>
  <c r="K280" i="1" s="1"/>
  <c r="O280" i="1"/>
  <c r="N280" i="1"/>
  <c r="P279" i="1"/>
  <c r="O279" i="1"/>
  <c r="N279" i="1"/>
  <c r="K279" i="1"/>
  <c r="P278" i="1"/>
  <c r="K278" i="1" s="1"/>
  <c r="O278" i="1"/>
  <c r="N278" i="1"/>
  <c r="P277" i="1"/>
  <c r="O277" i="1"/>
  <c r="N277" i="1"/>
  <c r="K277" i="1"/>
  <c r="P276" i="1"/>
  <c r="K276" i="1" s="1"/>
  <c r="O276" i="1"/>
  <c r="N276" i="1"/>
  <c r="P275" i="1"/>
  <c r="O275" i="1"/>
  <c r="N275" i="1"/>
  <c r="K275" i="1"/>
  <c r="P274" i="1"/>
  <c r="K274" i="1" s="1"/>
  <c r="O274" i="1"/>
  <c r="N274" i="1"/>
  <c r="P273" i="1"/>
  <c r="O273" i="1"/>
  <c r="N273" i="1"/>
  <c r="K273" i="1"/>
  <c r="P272" i="1"/>
  <c r="K272" i="1" s="1"/>
  <c r="O272" i="1"/>
  <c r="N272" i="1"/>
  <c r="P271" i="1"/>
  <c r="O271" i="1"/>
  <c r="N271" i="1"/>
  <c r="K271" i="1"/>
  <c r="P270" i="1"/>
  <c r="K270" i="1" s="1"/>
  <c r="O270" i="1"/>
  <c r="N270" i="1"/>
  <c r="P269" i="1"/>
  <c r="O269" i="1"/>
  <c r="N269" i="1"/>
  <c r="K269" i="1"/>
  <c r="P268" i="1"/>
  <c r="K268" i="1" s="1"/>
  <c r="O268" i="1"/>
  <c r="N268" i="1"/>
  <c r="P267" i="1"/>
  <c r="O267" i="1"/>
  <c r="N267" i="1"/>
  <c r="K267" i="1"/>
  <c r="P266" i="1"/>
  <c r="K266" i="1" s="1"/>
  <c r="O266" i="1"/>
  <c r="N266" i="1"/>
  <c r="P265" i="1"/>
  <c r="O265" i="1"/>
  <c r="N265" i="1"/>
  <c r="K265" i="1"/>
  <c r="P264" i="1"/>
  <c r="K264" i="1" s="1"/>
  <c r="O264" i="1"/>
  <c r="N264" i="1"/>
  <c r="P263" i="1"/>
  <c r="O263" i="1"/>
  <c r="N263" i="1"/>
  <c r="K263" i="1"/>
  <c r="P262" i="1"/>
  <c r="K262" i="1" s="1"/>
  <c r="O262" i="1"/>
  <c r="N262" i="1"/>
  <c r="P261" i="1"/>
  <c r="O261" i="1"/>
  <c r="N261" i="1"/>
  <c r="K261" i="1"/>
  <c r="P260" i="1"/>
  <c r="K260" i="1" s="1"/>
  <c r="O260" i="1"/>
  <c r="N260" i="1"/>
  <c r="P259" i="1"/>
  <c r="O259" i="1"/>
  <c r="N259" i="1"/>
  <c r="K259" i="1"/>
  <c r="P258" i="1"/>
  <c r="K258" i="1" s="1"/>
  <c r="O258" i="1"/>
  <c r="N258" i="1"/>
  <c r="P257" i="1"/>
  <c r="O257" i="1"/>
  <c r="N257" i="1"/>
  <c r="K257" i="1"/>
  <c r="P256" i="1"/>
  <c r="K256" i="1" s="1"/>
  <c r="O256" i="1"/>
  <c r="N256" i="1"/>
  <c r="P255" i="1"/>
  <c r="O255" i="1"/>
  <c r="N255" i="1"/>
  <c r="K255" i="1"/>
  <c r="P254" i="1"/>
  <c r="K254" i="1" s="1"/>
  <c r="O254" i="1"/>
  <c r="N254" i="1"/>
  <c r="P253" i="1"/>
  <c r="O253" i="1"/>
  <c r="N253" i="1"/>
  <c r="K253" i="1"/>
  <c r="P252" i="1"/>
  <c r="K252" i="1" s="1"/>
  <c r="O252" i="1"/>
  <c r="N252" i="1"/>
  <c r="P251" i="1"/>
  <c r="O251" i="1"/>
  <c r="N251" i="1"/>
  <c r="K251" i="1"/>
  <c r="P250" i="1"/>
  <c r="K250" i="1" s="1"/>
  <c r="O250" i="1"/>
  <c r="N250" i="1"/>
  <c r="P249" i="1"/>
  <c r="O249" i="1"/>
  <c r="N249" i="1"/>
  <c r="K249" i="1"/>
  <c r="P248" i="1"/>
  <c r="K248" i="1" s="1"/>
  <c r="O248" i="1"/>
  <c r="N248" i="1"/>
  <c r="P247" i="1"/>
  <c r="O247" i="1"/>
  <c r="N247" i="1"/>
  <c r="K247" i="1"/>
  <c r="P246" i="1"/>
  <c r="K246" i="1" s="1"/>
  <c r="O246" i="1"/>
  <c r="N246" i="1"/>
  <c r="P245" i="1"/>
  <c r="O245" i="1"/>
  <c r="N245" i="1"/>
  <c r="K245" i="1"/>
  <c r="P244" i="1"/>
  <c r="K244" i="1" s="1"/>
  <c r="O244" i="1"/>
  <c r="N244" i="1"/>
  <c r="P243" i="1"/>
  <c r="O243" i="1"/>
  <c r="N243" i="1"/>
  <c r="K243" i="1"/>
  <c r="P242" i="1"/>
  <c r="K242" i="1" s="1"/>
  <c r="O242" i="1"/>
  <c r="N242" i="1"/>
  <c r="P241" i="1"/>
  <c r="O241" i="1"/>
  <c r="N241" i="1"/>
  <c r="K241" i="1"/>
  <c r="P240" i="1"/>
  <c r="K240" i="1" s="1"/>
  <c r="O240" i="1"/>
  <c r="N240" i="1"/>
  <c r="P239" i="1"/>
  <c r="O239" i="1"/>
  <c r="N239" i="1"/>
  <c r="K239" i="1"/>
  <c r="P238" i="1"/>
  <c r="K238" i="1" s="1"/>
  <c r="O238" i="1"/>
  <c r="N238" i="1"/>
  <c r="P237" i="1"/>
  <c r="O237" i="1"/>
  <c r="N237" i="1"/>
  <c r="K237" i="1"/>
  <c r="P236" i="1"/>
  <c r="K236" i="1" s="1"/>
  <c r="O236" i="1"/>
  <c r="N236" i="1"/>
  <c r="P235" i="1"/>
  <c r="O235" i="1"/>
  <c r="N235" i="1"/>
  <c r="K235" i="1"/>
  <c r="P234" i="1"/>
  <c r="K234" i="1" s="1"/>
  <c r="O234" i="1"/>
  <c r="N234" i="1"/>
  <c r="P233" i="1"/>
  <c r="O233" i="1"/>
  <c r="N233" i="1"/>
  <c r="K233" i="1"/>
  <c r="P232" i="1"/>
  <c r="K232" i="1" s="1"/>
  <c r="O232" i="1"/>
  <c r="N232" i="1"/>
  <c r="P231" i="1"/>
  <c r="O231" i="1"/>
  <c r="N231" i="1"/>
  <c r="K231" i="1"/>
  <c r="P230" i="1"/>
  <c r="K230" i="1" s="1"/>
  <c r="O230" i="1"/>
  <c r="N230" i="1"/>
  <c r="P229" i="1"/>
  <c r="O229" i="1"/>
  <c r="N229" i="1"/>
  <c r="K229" i="1"/>
  <c r="P228" i="1"/>
  <c r="K228" i="1" s="1"/>
  <c r="O228" i="1"/>
  <c r="N228" i="1"/>
  <c r="P227" i="1"/>
  <c r="O227" i="1"/>
  <c r="N227" i="1"/>
  <c r="K227" i="1"/>
  <c r="P226" i="1"/>
  <c r="K226" i="1" s="1"/>
  <c r="O226" i="1"/>
  <c r="N226" i="1"/>
  <c r="P225" i="1"/>
  <c r="O225" i="1"/>
  <c r="N225" i="1"/>
  <c r="K225" i="1"/>
  <c r="P224" i="1"/>
  <c r="K224" i="1" s="1"/>
  <c r="O224" i="1"/>
  <c r="N224" i="1"/>
  <c r="P223" i="1"/>
  <c r="O223" i="1"/>
  <c r="N223" i="1"/>
  <c r="K223" i="1"/>
  <c r="P222" i="1"/>
  <c r="K222" i="1" s="1"/>
  <c r="O222" i="1"/>
  <c r="N222" i="1"/>
  <c r="P221" i="1"/>
  <c r="O221" i="1"/>
  <c r="N221" i="1"/>
  <c r="K221" i="1"/>
  <c r="P220" i="1"/>
  <c r="K220" i="1" s="1"/>
  <c r="O220" i="1"/>
  <c r="N220" i="1"/>
  <c r="P219" i="1"/>
  <c r="O219" i="1"/>
  <c r="N219" i="1"/>
  <c r="K219" i="1"/>
  <c r="P218" i="1"/>
  <c r="K218" i="1" s="1"/>
  <c r="O218" i="1"/>
  <c r="N218" i="1"/>
  <c r="P217" i="1"/>
  <c r="O217" i="1"/>
  <c r="N217" i="1"/>
  <c r="K217" i="1"/>
  <c r="P216" i="1"/>
  <c r="K216" i="1" s="1"/>
  <c r="O216" i="1"/>
  <c r="N216" i="1"/>
  <c r="P215" i="1"/>
  <c r="O215" i="1"/>
  <c r="N215" i="1"/>
  <c r="K215" i="1"/>
  <c r="P214" i="1"/>
  <c r="K214" i="1" s="1"/>
  <c r="O214" i="1"/>
  <c r="N214" i="1"/>
  <c r="P213" i="1"/>
  <c r="O213" i="1"/>
  <c r="N213" i="1"/>
  <c r="P212" i="1"/>
  <c r="O212" i="1"/>
  <c r="N212" i="1"/>
  <c r="P211" i="1"/>
  <c r="O211" i="1"/>
  <c r="N211" i="1"/>
  <c r="K211" i="1"/>
  <c r="P210" i="1"/>
  <c r="N210" i="1"/>
  <c r="O210" i="1" s="1"/>
  <c r="K210" i="1" s="1"/>
  <c r="P209" i="1"/>
  <c r="O209" i="1"/>
  <c r="N209" i="1"/>
  <c r="K209" i="1"/>
  <c r="P208" i="1"/>
  <c r="N208" i="1"/>
  <c r="O208" i="1" s="1"/>
  <c r="K208" i="1" s="1"/>
  <c r="P207" i="1"/>
  <c r="O207" i="1"/>
  <c r="N207" i="1"/>
  <c r="K207" i="1"/>
  <c r="P206" i="1"/>
  <c r="N206" i="1"/>
  <c r="O206" i="1" s="1"/>
  <c r="K206" i="1" s="1"/>
  <c r="P205" i="1"/>
  <c r="O205" i="1"/>
  <c r="N205" i="1"/>
  <c r="K205" i="1"/>
  <c r="P204" i="1"/>
  <c r="N204" i="1"/>
  <c r="O204" i="1" s="1"/>
  <c r="K204" i="1" s="1"/>
  <c r="P203" i="1"/>
  <c r="O203" i="1"/>
  <c r="N203" i="1"/>
  <c r="K203" i="1"/>
  <c r="P202" i="1"/>
  <c r="N202" i="1"/>
  <c r="O202" i="1" s="1"/>
  <c r="K202" i="1" s="1"/>
  <c r="P201" i="1"/>
  <c r="O201" i="1"/>
  <c r="N201" i="1"/>
  <c r="K201" i="1"/>
  <c r="P200" i="1"/>
  <c r="N200" i="1"/>
  <c r="O200" i="1" s="1"/>
  <c r="K200" i="1" s="1"/>
  <c r="P199" i="1"/>
  <c r="O199" i="1"/>
  <c r="N199" i="1"/>
  <c r="K199" i="1"/>
  <c r="P198" i="1"/>
  <c r="N198" i="1"/>
  <c r="O198" i="1" s="1"/>
  <c r="K198" i="1" s="1"/>
  <c r="P197" i="1"/>
  <c r="O197" i="1"/>
  <c r="N197" i="1"/>
  <c r="K197" i="1"/>
  <c r="P196" i="1"/>
  <c r="N196" i="1"/>
  <c r="O196" i="1" s="1"/>
  <c r="K196" i="1" s="1"/>
  <c r="P195" i="1"/>
  <c r="O195" i="1"/>
  <c r="N195" i="1"/>
  <c r="K195" i="1"/>
  <c r="P194" i="1"/>
  <c r="N194" i="1"/>
  <c r="O194" i="1" s="1"/>
  <c r="K194" i="1" s="1"/>
  <c r="P193" i="1"/>
  <c r="O193" i="1"/>
  <c r="N193" i="1"/>
  <c r="K193" i="1"/>
  <c r="P192" i="1"/>
  <c r="N192" i="1"/>
  <c r="O192" i="1" s="1"/>
  <c r="K192" i="1" s="1"/>
  <c r="P191" i="1"/>
  <c r="O191" i="1"/>
  <c r="N191" i="1"/>
  <c r="K191" i="1"/>
  <c r="P190" i="1"/>
  <c r="N190" i="1"/>
  <c r="O190" i="1" s="1"/>
  <c r="K190" i="1" s="1"/>
  <c r="P189" i="1"/>
  <c r="O189" i="1"/>
  <c r="N189" i="1"/>
  <c r="K189" i="1"/>
  <c r="P188" i="1"/>
  <c r="N188" i="1"/>
  <c r="O188" i="1" s="1"/>
  <c r="K188" i="1" s="1"/>
  <c r="P187" i="1"/>
  <c r="O187" i="1"/>
  <c r="N187" i="1"/>
  <c r="K187" i="1"/>
  <c r="P186" i="1"/>
  <c r="N186" i="1"/>
  <c r="O186" i="1" s="1"/>
  <c r="K186" i="1" s="1"/>
  <c r="P185" i="1"/>
  <c r="O185" i="1"/>
  <c r="N185" i="1"/>
  <c r="K185" i="1"/>
  <c r="P184" i="1"/>
  <c r="N184" i="1"/>
  <c r="O184" i="1" s="1"/>
  <c r="K184" i="1" s="1"/>
  <c r="P183" i="1"/>
  <c r="O183" i="1"/>
  <c r="N183" i="1"/>
  <c r="K183" i="1"/>
  <c r="P182" i="1"/>
  <c r="N182" i="1"/>
  <c r="O182" i="1" s="1"/>
  <c r="K182" i="1" s="1"/>
  <c r="P181" i="1"/>
  <c r="O181" i="1"/>
  <c r="N181" i="1"/>
  <c r="K181" i="1"/>
  <c r="P180" i="1"/>
  <c r="N180" i="1"/>
  <c r="O180" i="1" s="1"/>
  <c r="K180" i="1" s="1"/>
  <c r="P179" i="1"/>
  <c r="O179" i="1"/>
  <c r="N179" i="1"/>
  <c r="K179" i="1"/>
  <c r="P178" i="1"/>
  <c r="N178" i="1"/>
  <c r="O178" i="1" s="1"/>
  <c r="K178" i="1" s="1"/>
  <c r="P177" i="1"/>
  <c r="O177" i="1"/>
  <c r="N177" i="1"/>
  <c r="K177" i="1"/>
  <c r="P176" i="1"/>
  <c r="N176" i="1"/>
  <c r="O176" i="1" s="1"/>
  <c r="K176" i="1" s="1"/>
  <c r="P175" i="1"/>
  <c r="O175" i="1"/>
  <c r="N175" i="1"/>
  <c r="K175" i="1"/>
  <c r="P174" i="1"/>
  <c r="N174" i="1"/>
  <c r="O174" i="1" s="1"/>
  <c r="K174" i="1" s="1"/>
  <c r="P173" i="1"/>
  <c r="O173" i="1"/>
  <c r="N173" i="1"/>
  <c r="K173" i="1"/>
  <c r="P172" i="1"/>
  <c r="N172" i="1"/>
  <c r="O172" i="1" s="1"/>
  <c r="K172" i="1" s="1"/>
  <c r="P171" i="1"/>
  <c r="O171" i="1"/>
  <c r="N171" i="1"/>
  <c r="K171" i="1"/>
  <c r="P170" i="1"/>
  <c r="N170" i="1"/>
  <c r="O170" i="1" s="1"/>
  <c r="K170" i="1" s="1"/>
  <c r="P169" i="1"/>
  <c r="O169" i="1"/>
  <c r="N169" i="1"/>
  <c r="K169" i="1"/>
  <c r="P168" i="1"/>
  <c r="N168" i="1"/>
  <c r="O168" i="1" s="1"/>
  <c r="K168" i="1" s="1"/>
  <c r="P167" i="1"/>
  <c r="O167" i="1"/>
  <c r="N167" i="1"/>
  <c r="K167" i="1"/>
  <c r="P166" i="1"/>
  <c r="N166" i="1"/>
  <c r="O166" i="1" s="1"/>
  <c r="K166" i="1" s="1"/>
  <c r="P165" i="1"/>
  <c r="O165" i="1"/>
  <c r="N165" i="1"/>
  <c r="K165" i="1"/>
  <c r="P164" i="1"/>
  <c r="N164" i="1"/>
  <c r="O164" i="1" s="1"/>
  <c r="K164" i="1" s="1"/>
  <c r="P163" i="1"/>
  <c r="O163" i="1"/>
  <c r="N163" i="1"/>
  <c r="K163" i="1"/>
  <c r="P162" i="1"/>
  <c r="N162" i="1"/>
  <c r="O162" i="1" s="1"/>
  <c r="K162" i="1" s="1"/>
  <c r="P160" i="1"/>
  <c r="O160" i="1"/>
  <c r="N160" i="1"/>
  <c r="K160" i="1"/>
  <c r="P159" i="1"/>
  <c r="N159" i="1"/>
  <c r="O159" i="1" s="1"/>
  <c r="K159" i="1" s="1"/>
  <c r="P158" i="1"/>
  <c r="O158" i="1"/>
  <c r="N158" i="1"/>
  <c r="K158" i="1"/>
  <c r="P157" i="1"/>
  <c r="N157" i="1"/>
  <c r="O157" i="1" s="1"/>
  <c r="K157" i="1" s="1"/>
  <c r="P156" i="1"/>
  <c r="O156" i="1"/>
  <c r="N156" i="1"/>
  <c r="K156" i="1"/>
  <c r="P155" i="1"/>
  <c r="N155" i="1"/>
  <c r="O155" i="1" s="1"/>
  <c r="K155" i="1" s="1"/>
  <c r="P154" i="1"/>
  <c r="O154" i="1"/>
  <c r="N154" i="1"/>
  <c r="K154" i="1"/>
  <c r="P153" i="1"/>
  <c r="N153" i="1"/>
  <c r="O153" i="1" s="1"/>
  <c r="K153" i="1" s="1"/>
  <c r="P152" i="1"/>
  <c r="O152" i="1"/>
  <c r="N152" i="1"/>
  <c r="K152" i="1"/>
  <c r="P151" i="1"/>
  <c r="N151" i="1"/>
  <c r="O151" i="1" s="1"/>
  <c r="K151" i="1" s="1"/>
  <c r="P150" i="1"/>
  <c r="O150" i="1"/>
  <c r="N150" i="1"/>
  <c r="K150" i="1"/>
  <c r="P149" i="1"/>
  <c r="N149" i="1"/>
  <c r="O149" i="1" s="1"/>
  <c r="K149" i="1" s="1"/>
  <c r="P148" i="1"/>
  <c r="O148" i="1"/>
  <c r="N148" i="1"/>
  <c r="K148" i="1"/>
  <c r="P147" i="1"/>
  <c r="N147" i="1"/>
  <c r="O147" i="1" s="1"/>
  <c r="K147" i="1" s="1"/>
  <c r="P146" i="1"/>
  <c r="O146" i="1"/>
  <c r="N146" i="1"/>
  <c r="K146" i="1"/>
  <c r="P145" i="1"/>
  <c r="N145" i="1"/>
  <c r="O145" i="1" s="1"/>
  <c r="K145" i="1" s="1"/>
  <c r="P144" i="1"/>
  <c r="O144" i="1"/>
  <c r="N144" i="1"/>
  <c r="K144" i="1"/>
  <c r="P143" i="1"/>
  <c r="N143" i="1"/>
  <c r="O143" i="1" s="1"/>
  <c r="K143" i="1" s="1"/>
  <c r="P142" i="1"/>
  <c r="O142" i="1"/>
  <c r="N142" i="1"/>
  <c r="K142" i="1"/>
  <c r="P141" i="1"/>
  <c r="N141" i="1"/>
  <c r="O141" i="1" s="1"/>
  <c r="K141" i="1" s="1"/>
  <c r="P140" i="1"/>
  <c r="O140" i="1"/>
  <c r="N140" i="1"/>
  <c r="K140" i="1"/>
  <c r="P139" i="1"/>
  <c r="N139" i="1"/>
  <c r="O139" i="1" s="1"/>
  <c r="K139" i="1" s="1"/>
  <c r="P138" i="1"/>
  <c r="O138" i="1"/>
  <c r="N138" i="1"/>
  <c r="K138" i="1"/>
  <c r="P137" i="1"/>
  <c r="N137" i="1"/>
  <c r="O137" i="1" s="1"/>
  <c r="K137" i="1" s="1"/>
  <c r="P136" i="1"/>
  <c r="O136" i="1"/>
  <c r="N136" i="1"/>
  <c r="K136" i="1"/>
  <c r="P135" i="1"/>
  <c r="N135" i="1"/>
  <c r="O135" i="1" s="1"/>
  <c r="K135" i="1" s="1"/>
  <c r="P134" i="1"/>
  <c r="O134" i="1"/>
  <c r="N134" i="1"/>
  <c r="K134" i="1"/>
  <c r="P133" i="1"/>
  <c r="N133" i="1"/>
  <c r="O133" i="1" s="1"/>
  <c r="K133" i="1" s="1"/>
  <c r="O132" i="1"/>
  <c r="N132" i="1"/>
  <c r="D132" i="1"/>
  <c r="C132" i="1"/>
  <c r="P132" i="1" s="1"/>
  <c r="K132" i="1" s="1"/>
  <c r="P131" i="1"/>
  <c r="N131" i="1"/>
  <c r="O131" i="1" s="1"/>
  <c r="K131" i="1" s="1"/>
  <c r="P130" i="1"/>
  <c r="O130" i="1"/>
  <c r="N130" i="1"/>
  <c r="K130" i="1"/>
  <c r="P129" i="1"/>
  <c r="N129" i="1"/>
  <c r="O129" i="1" s="1"/>
  <c r="K129" i="1" s="1"/>
  <c r="P128" i="1"/>
  <c r="O128" i="1"/>
  <c r="N128" i="1"/>
  <c r="K128" i="1"/>
  <c r="P127" i="1"/>
  <c r="N127" i="1"/>
  <c r="O127" i="1" s="1"/>
  <c r="K127" i="1" s="1"/>
  <c r="P126" i="1"/>
  <c r="O126" i="1"/>
  <c r="N126" i="1"/>
  <c r="K126" i="1"/>
  <c r="P125" i="1"/>
  <c r="N125" i="1"/>
  <c r="O125" i="1" s="1"/>
  <c r="P124" i="1"/>
  <c r="O124" i="1"/>
  <c r="N124" i="1"/>
  <c r="K124" i="1"/>
  <c r="P123" i="1"/>
  <c r="N123" i="1"/>
  <c r="O123" i="1" s="1"/>
  <c r="K123" i="1" s="1"/>
  <c r="P122" i="1"/>
  <c r="O122" i="1"/>
  <c r="N122" i="1"/>
  <c r="K122" i="1"/>
  <c r="P121" i="1"/>
  <c r="N121" i="1"/>
  <c r="O121" i="1" s="1"/>
  <c r="K121" i="1" s="1"/>
  <c r="P120" i="1"/>
  <c r="O120" i="1"/>
  <c r="N120" i="1"/>
  <c r="K120" i="1"/>
  <c r="P119" i="1"/>
  <c r="N119" i="1"/>
  <c r="O119" i="1" s="1"/>
  <c r="K119" i="1" s="1"/>
  <c r="P118" i="1"/>
  <c r="O118" i="1"/>
  <c r="N118" i="1"/>
  <c r="K118" i="1"/>
  <c r="P117" i="1"/>
  <c r="N117" i="1"/>
  <c r="O117" i="1" s="1"/>
  <c r="P116" i="1"/>
  <c r="O116" i="1"/>
  <c r="N116" i="1"/>
  <c r="K116" i="1"/>
  <c r="E116" i="1"/>
  <c r="P115" i="1"/>
  <c r="N115" i="1"/>
  <c r="O115" i="1" s="1"/>
  <c r="K115" i="1" s="1"/>
  <c r="P114" i="1"/>
  <c r="N114" i="1"/>
  <c r="O114" i="1" s="1"/>
  <c r="K114" i="1"/>
  <c r="P113" i="1"/>
  <c r="N113" i="1"/>
  <c r="O113" i="1" s="1"/>
  <c r="K113" i="1" s="1"/>
  <c r="P112" i="1"/>
  <c r="N112" i="1"/>
  <c r="O112" i="1" s="1"/>
  <c r="K112" i="1" s="1"/>
  <c r="P111" i="1"/>
  <c r="N111" i="1"/>
  <c r="O111" i="1" s="1"/>
  <c r="K111" i="1" s="1"/>
  <c r="P110" i="1"/>
  <c r="N110" i="1"/>
  <c r="O110" i="1" s="1"/>
  <c r="K110" i="1"/>
  <c r="P109" i="1"/>
  <c r="N109" i="1"/>
  <c r="O109" i="1" s="1"/>
  <c r="K109" i="1" s="1"/>
  <c r="P108" i="1"/>
  <c r="N108" i="1"/>
  <c r="O108" i="1" s="1"/>
  <c r="K108" i="1"/>
  <c r="N107" i="1"/>
  <c r="O107" i="1" s="1"/>
  <c r="D107" i="1"/>
  <c r="C107" i="1"/>
  <c r="P107" i="1" s="1"/>
  <c r="P106" i="1"/>
  <c r="O106" i="1"/>
  <c r="K106" i="1" s="1"/>
  <c r="N106" i="1"/>
  <c r="D106" i="1"/>
  <c r="C106" i="1"/>
  <c r="P105" i="1"/>
  <c r="N105" i="1"/>
  <c r="O105" i="1" s="1"/>
  <c r="K105" i="1"/>
  <c r="P104" i="1"/>
  <c r="N104" i="1"/>
  <c r="O104" i="1" s="1"/>
  <c r="K104" i="1" s="1"/>
  <c r="P103" i="1"/>
  <c r="N103" i="1"/>
  <c r="O103" i="1" s="1"/>
  <c r="K103" i="1"/>
  <c r="N102" i="1"/>
  <c r="O102" i="1" s="1"/>
  <c r="D102" i="1"/>
  <c r="C102" i="1"/>
  <c r="P102" i="1" s="1"/>
  <c r="P101" i="1"/>
  <c r="O101" i="1"/>
  <c r="K101" i="1" s="1"/>
  <c r="N101" i="1"/>
  <c r="D101" i="1"/>
  <c r="C101" i="1"/>
  <c r="P100" i="1"/>
  <c r="N100" i="1"/>
  <c r="O100" i="1" s="1"/>
  <c r="K100" i="1"/>
  <c r="P99" i="1"/>
  <c r="N99" i="1"/>
  <c r="O99" i="1" s="1"/>
  <c r="K99" i="1" s="1"/>
  <c r="P98" i="1"/>
  <c r="N98" i="1"/>
  <c r="O98" i="1" s="1"/>
  <c r="K98" i="1"/>
  <c r="D98" i="1"/>
  <c r="C98" i="1"/>
  <c r="N97" i="1"/>
  <c r="O97" i="1" s="1"/>
  <c r="K97" i="1" s="1"/>
  <c r="D97" i="1"/>
  <c r="C97" i="1"/>
  <c r="P97" i="1" s="1"/>
  <c r="N96" i="1"/>
  <c r="O96" i="1" s="1"/>
  <c r="D96" i="1"/>
  <c r="C96" i="1"/>
  <c r="P96" i="1" s="1"/>
  <c r="P95" i="1"/>
  <c r="O95" i="1"/>
  <c r="K95" i="1" s="1"/>
  <c r="N95" i="1"/>
  <c r="N94" i="1"/>
  <c r="O94" i="1" s="1"/>
  <c r="C94" i="1"/>
  <c r="P94" i="1" s="1"/>
  <c r="P93" i="1"/>
  <c r="N93" i="1"/>
  <c r="O93" i="1" s="1"/>
  <c r="C93" i="1"/>
  <c r="P92" i="1"/>
  <c r="N92" i="1"/>
  <c r="O92" i="1" s="1"/>
  <c r="K92" i="1"/>
  <c r="C92" i="1"/>
  <c r="O91" i="1"/>
  <c r="N91" i="1"/>
  <c r="C91" i="1"/>
  <c r="P91" i="1" s="1"/>
  <c r="K91" i="1" s="1"/>
  <c r="P90" i="1"/>
  <c r="O90" i="1"/>
  <c r="K90" i="1" s="1"/>
  <c r="N90" i="1"/>
  <c r="P89" i="1"/>
  <c r="N89" i="1"/>
  <c r="O89" i="1" s="1"/>
  <c r="K89" i="1" s="1"/>
  <c r="P88" i="1"/>
  <c r="O88" i="1"/>
  <c r="K88" i="1" s="1"/>
  <c r="N88" i="1"/>
  <c r="C88" i="1"/>
  <c r="O87" i="1"/>
  <c r="N87" i="1"/>
  <c r="C87" i="1"/>
  <c r="P87" i="1" s="1"/>
  <c r="K87" i="1" s="1"/>
  <c r="P86" i="1"/>
  <c r="N86" i="1"/>
  <c r="O86" i="1" s="1"/>
  <c r="K86" i="1" s="1"/>
  <c r="P85" i="1"/>
  <c r="N85" i="1"/>
  <c r="O85" i="1" s="1"/>
  <c r="K85" i="1"/>
  <c r="P84" i="1"/>
  <c r="N84" i="1"/>
  <c r="O84" i="1" s="1"/>
  <c r="K84" i="1" s="1"/>
  <c r="P83" i="1"/>
  <c r="N83" i="1"/>
  <c r="O83" i="1" s="1"/>
  <c r="K83" i="1"/>
  <c r="C83" i="1"/>
  <c r="O82" i="1"/>
  <c r="N82" i="1"/>
  <c r="C82" i="1"/>
  <c r="P82" i="1" s="1"/>
  <c r="K82" i="1" s="1"/>
  <c r="P81" i="1"/>
  <c r="O81" i="1"/>
  <c r="K81" i="1" s="1"/>
  <c r="N81" i="1"/>
  <c r="P80" i="1"/>
  <c r="N80" i="1"/>
  <c r="O80" i="1" s="1"/>
  <c r="K80" i="1" s="1"/>
  <c r="P79" i="1"/>
  <c r="O79" i="1"/>
  <c r="K79" i="1" s="1"/>
  <c r="N79" i="1"/>
  <c r="P78" i="1"/>
  <c r="N78" i="1"/>
  <c r="O78" i="1" s="1"/>
  <c r="K78" i="1" s="1"/>
  <c r="P77" i="1"/>
  <c r="O77" i="1"/>
  <c r="K77" i="1" s="1"/>
  <c r="N77" i="1"/>
  <c r="N76" i="1"/>
  <c r="O76" i="1" s="1"/>
  <c r="C76" i="1"/>
  <c r="P76" i="1" s="1"/>
  <c r="P75" i="1"/>
  <c r="N75" i="1"/>
  <c r="O75" i="1" s="1"/>
  <c r="C75" i="1"/>
  <c r="P74" i="1"/>
  <c r="N74" i="1"/>
  <c r="O74" i="1" s="1"/>
  <c r="K74" i="1" s="1"/>
  <c r="C74" i="1"/>
  <c r="O73" i="1"/>
  <c r="N73" i="1"/>
  <c r="C73" i="1"/>
  <c r="P73" i="1" s="1"/>
  <c r="K73" i="1" s="1"/>
  <c r="P72" i="1"/>
  <c r="O72" i="1"/>
  <c r="K72" i="1" s="1"/>
  <c r="N72" i="1"/>
  <c r="C72" i="1"/>
  <c r="O71" i="1"/>
  <c r="N71" i="1"/>
  <c r="C71" i="1"/>
  <c r="P71" i="1" s="1"/>
  <c r="K71" i="1" s="1"/>
  <c r="N70" i="1"/>
  <c r="O70" i="1" s="1"/>
  <c r="C70" i="1"/>
  <c r="P70" i="1" s="1"/>
  <c r="P69" i="1"/>
  <c r="N69" i="1"/>
  <c r="O69" i="1" s="1"/>
  <c r="K69" i="1" s="1"/>
  <c r="O68" i="1"/>
  <c r="N68" i="1"/>
  <c r="C68" i="1"/>
  <c r="P68" i="1" s="1"/>
  <c r="K68" i="1" s="1"/>
  <c r="P67" i="1"/>
  <c r="O67" i="1"/>
  <c r="K67" i="1" s="1"/>
  <c r="N67" i="1"/>
  <c r="C67" i="1"/>
  <c r="O66" i="1"/>
  <c r="N66" i="1"/>
  <c r="C66" i="1"/>
  <c r="P66" i="1" s="1"/>
  <c r="K66" i="1" s="1"/>
  <c r="N65" i="1"/>
  <c r="O65" i="1" s="1"/>
  <c r="C65" i="1"/>
  <c r="P65" i="1" s="1"/>
  <c r="P64" i="1"/>
  <c r="N64" i="1"/>
  <c r="O64" i="1" s="1"/>
  <c r="K64" i="1" s="1"/>
  <c r="P63" i="1"/>
  <c r="O63" i="1"/>
  <c r="N63" i="1"/>
  <c r="K63" i="1"/>
  <c r="P62" i="1"/>
  <c r="N62" i="1"/>
  <c r="O62" i="1" s="1"/>
  <c r="K62" i="1" s="1"/>
  <c r="P61" i="1"/>
  <c r="O61" i="1"/>
  <c r="N61" i="1"/>
  <c r="K61" i="1"/>
  <c r="P60" i="1"/>
  <c r="N60" i="1"/>
  <c r="O60" i="1" s="1"/>
  <c r="K60" i="1" s="1"/>
  <c r="P59" i="1"/>
  <c r="O59" i="1"/>
  <c r="N59" i="1"/>
  <c r="K59" i="1"/>
  <c r="P58" i="1"/>
  <c r="N58" i="1"/>
  <c r="O58" i="1" s="1"/>
  <c r="K58" i="1" s="1"/>
  <c r="P57" i="1"/>
  <c r="O57" i="1"/>
  <c r="N57" i="1"/>
  <c r="K57" i="1"/>
  <c r="P56" i="1"/>
  <c r="N56" i="1"/>
  <c r="O56" i="1" s="1"/>
  <c r="K56" i="1" s="1"/>
  <c r="P55" i="1"/>
  <c r="O55" i="1"/>
  <c r="N55" i="1"/>
  <c r="K55" i="1"/>
  <c r="P54" i="1"/>
  <c r="N54" i="1"/>
  <c r="O54" i="1" s="1"/>
  <c r="K54" i="1" s="1"/>
  <c r="P53" i="1"/>
  <c r="O53" i="1"/>
  <c r="N53" i="1"/>
  <c r="K53" i="1"/>
  <c r="P52" i="1"/>
  <c r="N52" i="1"/>
  <c r="O52" i="1" s="1"/>
  <c r="K52" i="1" s="1"/>
  <c r="P51" i="1"/>
  <c r="O51" i="1"/>
  <c r="N51" i="1"/>
  <c r="K51" i="1"/>
  <c r="P50" i="1"/>
  <c r="N50" i="1"/>
  <c r="O50" i="1" s="1"/>
  <c r="K50" i="1" s="1"/>
  <c r="C50" i="1"/>
  <c r="P49" i="1"/>
  <c r="N49" i="1"/>
  <c r="O49" i="1" s="1"/>
  <c r="K49" i="1" s="1"/>
  <c r="P48" i="1"/>
  <c r="O48" i="1"/>
  <c r="K48" i="1" s="1"/>
  <c r="N48" i="1"/>
  <c r="P47" i="1"/>
  <c r="N47" i="1"/>
  <c r="O47" i="1" s="1"/>
  <c r="K47" i="1" s="1"/>
  <c r="P46" i="1"/>
  <c r="O46" i="1"/>
  <c r="K46" i="1" s="1"/>
  <c r="N46" i="1"/>
  <c r="P45" i="1"/>
  <c r="N45" i="1"/>
  <c r="O45" i="1" s="1"/>
  <c r="K45" i="1" s="1"/>
  <c r="P44" i="1"/>
  <c r="O44" i="1"/>
  <c r="K44" i="1" s="1"/>
  <c r="N44" i="1"/>
  <c r="P43" i="1"/>
  <c r="N43" i="1"/>
  <c r="O43" i="1" s="1"/>
  <c r="K43" i="1" s="1"/>
  <c r="P42" i="1"/>
  <c r="O42" i="1"/>
  <c r="K42" i="1" s="1"/>
  <c r="N42" i="1"/>
  <c r="F42" i="1"/>
  <c r="P41" i="1"/>
  <c r="O41" i="1"/>
  <c r="N41" i="1"/>
  <c r="K41" i="1"/>
  <c r="P40" i="1"/>
  <c r="K40" i="1" s="1"/>
  <c r="O40" i="1"/>
  <c r="N40" i="1"/>
  <c r="P39" i="1"/>
  <c r="O39" i="1"/>
  <c r="N39" i="1"/>
  <c r="K39" i="1"/>
  <c r="P38" i="1"/>
  <c r="N38" i="1"/>
  <c r="O38" i="1" s="1"/>
  <c r="K38" i="1" s="1"/>
  <c r="P37" i="1"/>
  <c r="O37" i="1"/>
  <c r="N37" i="1"/>
  <c r="K37" i="1"/>
  <c r="P36" i="1"/>
  <c r="N36" i="1"/>
  <c r="O36" i="1" s="1"/>
  <c r="E36" i="1"/>
  <c r="C36" i="1"/>
  <c r="P35" i="1"/>
  <c r="N35" i="1"/>
  <c r="O35" i="1" s="1"/>
  <c r="K35" i="1" s="1"/>
  <c r="P34" i="1"/>
  <c r="O34" i="1"/>
  <c r="N34" i="1"/>
  <c r="K34" i="1"/>
  <c r="P33" i="1"/>
  <c r="N33" i="1"/>
  <c r="O33" i="1" s="1"/>
  <c r="K33" i="1" s="1"/>
  <c r="P32" i="1"/>
  <c r="O32" i="1"/>
  <c r="N32" i="1"/>
  <c r="K32" i="1"/>
  <c r="P31" i="1"/>
  <c r="N31" i="1"/>
  <c r="O31" i="1" s="1"/>
  <c r="K31" i="1" s="1"/>
  <c r="P30" i="1"/>
  <c r="O30" i="1"/>
  <c r="N30" i="1"/>
  <c r="K30" i="1"/>
  <c r="P29" i="1"/>
  <c r="N29" i="1"/>
  <c r="O29" i="1" s="1"/>
  <c r="K29" i="1" s="1"/>
  <c r="C29" i="1"/>
  <c r="N28" i="1"/>
  <c r="O28" i="1" s="1"/>
  <c r="K28" i="1" s="1"/>
  <c r="C28" i="1"/>
  <c r="P28" i="1" s="1"/>
  <c r="P27" i="1"/>
  <c r="N27" i="1"/>
  <c r="O27" i="1" s="1"/>
  <c r="K27" i="1" s="1"/>
  <c r="P26" i="1"/>
  <c r="O26" i="1"/>
  <c r="N26" i="1"/>
  <c r="K26" i="1"/>
  <c r="C25" i="1"/>
  <c r="P24" i="1"/>
  <c r="N24" i="1"/>
  <c r="O24" i="1" s="1"/>
  <c r="K24" i="1" s="1"/>
  <c r="P23" i="1"/>
  <c r="N23" i="1"/>
  <c r="O23" i="1" s="1"/>
  <c r="K23" i="1"/>
  <c r="C23" i="1"/>
  <c r="N22" i="1"/>
  <c r="O22" i="1" s="1"/>
  <c r="K22" i="1" s="1"/>
  <c r="C22" i="1"/>
  <c r="P22" i="1" s="1"/>
  <c r="P21" i="1"/>
  <c r="O21" i="1"/>
  <c r="K21" i="1" s="1"/>
  <c r="N21" i="1"/>
  <c r="P20" i="1"/>
  <c r="N20" i="1"/>
  <c r="O20" i="1" s="1"/>
  <c r="K20" i="1" s="1"/>
  <c r="P19" i="1"/>
  <c r="O19" i="1"/>
  <c r="K19" i="1" s="1"/>
  <c r="N19" i="1"/>
  <c r="N18" i="1"/>
  <c r="O18" i="1" s="1"/>
  <c r="C18" i="1"/>
  <c r="P18" i="1" s="1"/>
  <c r="P17" i="1"/>
  <c r="N17" i="1"/>
  <c r="O17" i="1" s="1"/>
  <c r="O16" i="1"/>
  <c r="N16" i="1"/>
  <c r="C16" i="1"/>
  <c r="P16" i="1" s="1"/>
  <c r="K16" i="1" s="1"/>
  <c r="N15" i="1"/>
  <c r="O15" i="1" s="1"/>
  <c r="K15" i="1" s="1"/>
  <c r="C15" i="1"/>
  <c r="P15" i="1" s="1"/>
  <c r="P14" i="1"/>
  <c r="N14" i="1"/>
  <c r="O14" i="1" s="1"/>
  <c r="K14" i="1" s="1"/>
  <c r="C14" i="1"/>
  <c r="N13" i="1"/>
  <c r="O13" i="1" s="1"/>
  <c r="K13" i="1" s="1"/>
  <c r="C13" i="1"/>
  <c r="P13" i="1" s="1"/>
  <c r="P12" i="1"/>
  <c r="N12" i="1"/>
  <c r="O12" i="1" s="1"/>
  <c r="O11" i="1"/>
  <c r="N11" i="1"/>
  <c r="C11" i="1"/>
  <c r="P11" i="1" s="1"/>
  <c r="K11" i="1" s="1"/>
  <c r="N10" i="1"/>
  <c r="O10" i="1" s="1"/>
  <c r="C10" i="1"/>
  <c r="P10" i="1" s="1"/>
  <c r="P9" i="1"/>
  <c r="N9" i="1"/>
  <c r="O9" i="1" s="1"/>
  <c r="K9" i="1" s="1"/>
  <c r="C9" i="1"/>
  <c r="N8" i="1"/>
  <c r="O8" i="1" s="1"/>
  <c r="C8" i="1"/>
  <c r="P8" i="1" s="1"/>
  <c r="P7" i="1"/>
  <c r="N7" i="1"/>
  <c r="O7" i="1" s="1"/>
  <c r="C7" i="1"/>
  <c r="P6" i="1"/>
  <c r="N6" i="1"/>
  <c r="O6" i="1" s="1"/>
  <c r="K6" i="1" s="1"/>
  <c r="C6" i="1"/>
  <c r="P5" i="1"/>
  <c r="N5" i="1"/>
  <c r="O5" i="1" s="1"/>
  <c r="K5" i="1" s="1"/>
  <c r="P4" i="1"/>
  <c r="N4" i="1"/>
  <c r="O4" i="1" s="1"/>
  <c r="K4" i="1" s="1"/>
  <c r="P3" i="1"/>
  <c r="N3" i="1"/>
  <c r="O3" i="1" s="1"/>
  <c r="K3" i="1" s="1"/>
  <c r="P2" i="1"/>
  <c r="N2" i="1"/>
  <c r="O2" i="1" s="1"/>
  <c r="K2" i="1" s="1"/>
  <c r="K7" i="1" l="1"/>
  <c r="K10" i="1"/>
  <c r="K17" i="1"/>
  <c r="K70" i="1"/>
  <c r="K75" i="1"/>
  <c r="K102" i="1"/>
  <c r="K107" i="1"/>
  <c r="K65" i="1"/>
  <c r="K8" i="1"/>
  <c r="K18" i="1"/>
  <c r="K76" i="1"/>
  <c r="K93" i="1"/>
  <c r="K117" i="1"/>
  <c r="K125" i="1"/>
  <c r="K12" i="1"/>
  <c r="K36" i="1"/>
  <c r="K96" i="1"/>
  <c r="K94" i="1"/>
  <c r="K421" i="1"/>
  <c r="K463" i="1"/>
  <c r="K479" i="1"/>
  <c r="K484" i="1"/>
  <c r="K428" i="1"/>
  <c r="K493" i="1"/>
  <c r="K438" i="1"/>
  <c r="K451" i="1"/>
  <c r="K467" i="1"/>
  <c r="K488" i="1"/>
  <c r="K306" i="1"/>
  <c r="K322" i="1"/>
  <c r="K338" i="1"/>
  <c r="K354" i="1"/>
  <c r="K370" i="1"/>
  <c r="K386" i="1"/>
  <c r="K408" i="1"/>
  <c r="K461" i="1"/>
  <c r="K477" i="1"/>
  <c r="K499" i="1"/>
  <c r="K507" i="1"/>
  <c r="K406" i="1"/>
  <c r="K436" i="1"/>
  <c r="K452" i="1"/>
  <c r="K455" i="1"/>
  <c r="K471" i="1"/>
  <c r="K434" i="1"/>
  <c r="K443" i="1"/>
  <c r="K456" i="1"/>
  <c r="K459" i="1"/>
  <c r="K475" i="1"/>
  <c r="K508" i="1"/>
  <c r="K515" i="1"/>
  <c r="K519" i="1"/>
  <c r="K530" i="1"/>
  <c r="K575" i="1"/>
  <c r="K582" i="1"/>
  <c r="K756" i="1"/>
  <c r="K772" i="1"/>
  <c r="K788" i="1"/>
  <c r="K815" i="1"/>
  <c r="K790" i="1"/>
  <c r="K800" i="1"/>
  <c r="K528" i="1"/>
  <c r="K580" i="1"/>
  <c r="K754" i="1"/>
  <c r="K770" i="1"/>
  <c r="K786" i="1"/>
  <c r="K793" i="1"/>
  <c r="K780" i="1"/>
  <c r="K794" i="1"/>
  <c r="K805" i="1"/>
  <c r="K526" i="1"/>
  <c r="K578" i="1"/>
  <c r="K594" i="1"/>
  <c r="K686" i="1"/>
  <c r="K752" i="1"/>
  <c r="K768" i="1"/>
  <c r="K784" i="1"/>
  <c r="K797" i="1"/>
  <c r="K803" i="1"/>
  <c r="K814" i="1"/>
</calcChain>
</file>

<file path=xl/sharedStrings.xml><?xml version="1.0" encoding="utf-8"?>
<sst xmlns="http://schemas.openxmlformats.org/spreadsheetml/2006/main" count="1855" uniqueCount="51">
  <si>
    <t xml:space="preserve">Date 
de Commande </t>
  </si>
  <si>
    <t>Fournisseur
CARB</t>
  </si>
  <si>
    <t>Prix d'Achat
Gasoil HT</t>
  </si>
  <si>
    <t>Prix d'Achat
Super SP HT</t>
  </si>
  <si>
    <t>Gasoil 10 PPM</t>
  </si>
  <si>
    <t>SUPER SP</t>
  </si>
  <si>
    <t>Client</t>
  </si>
  <si>
    <t>Gasoil 10 PPM V</t>
  </si>
  <si>
    <t>SUPER SP V</t>
  </si>
  <si>
    <t>Différentiel 
de Transport TTC</t>
  </si>
  <si>
    <t>Marge HT</t>
  </si>
  <si>
    <t>Prix de Vente
 Gasoil TTC</t>
  </si>
  <si>
    <t>Prix de Vente
 Super TTC</t>
  </si>
  <si>
    <t>Montant FA TTC</t>
  </si>
  <si>
    <t>C.A</t>
  </si>
  <si>
    <t>ACHAT HT</t>
  </si>
  <si>
    <t xml:space="preserve">WINXO </t>
  </si>
  <si>
    <t>REDAZI LUB</t>
  </si>
  <si>
    <t>AR PETROLE</t>
  </si>
  <si>
    <t>STOCK</t>
  </si>
  <si>
    <t>YOOM</t>
  </si>
  <si>
    <t>DRISSI EL MADANI (S/S SALAMA ERFOUD)</t>
  </si>
  <si>
    <t>S/S GRANDE CEINTURE</t>
  </si>
  <si>
    <t>S/S CENTRE COMMERCIAL MANAR D'OR</t>
  </si>
  <si>
    <t>STE CATER</t>
  </si>
  <si>
    <t>AGASTAT</t>
  </si>
  <si>
    <t>S/S AZROU</t>
  </si>
  <si>
    <t>S/S TAHAR SOUK</t>
  </si>
  <si>
    <t>S/S ERRCHIDIA CENTRE</t>
  </si>
  <si>
    <t>S/S BOULEMANE</t>
  </si>
  <si>
    <t>JAK TRANSPORT</t>
  </si>
  <si>
    <t>S/S JORF EL MALHA</t>
  </si>
  <si>
    <t>BLACK OIL</t>
  </si>
  <si>
    <t>SK POWER</t>
  </si>
  <si>
    <t xml:space="preserve">STE DES CARBURANTES DE NADOR </t>
  </si>
  <si>
    <t>S/S DEBBOUI NEGOCE</t>
  </si>
  <si>
    <t>S/S SEBAA AYOUNE</t>
  </si>
  <si>
    <t>DIMALUB</t>
  </si>
  <si>
    <t>CASALUB</t>
  </si>
  <si>
    <t>OLA</t>
  </si>
  <si>
    <t xml:space="preserve">MADES GOLBAL </t>
  </si>
  <si>
    <t>SDCC</t>
  </si>
  <si>
    <t>LIVRAISON ERRACHIDIA</t>
  </si>
  <si>
    <t>WINXO</t>
  </si>
  <si>
    <t>livraison errachidia</t>
  </si>
  <si>
    <t>REDAZILUB</t>
  </si>
  <si>
    <t>SOMACOST</t>
  </si>
  <si>
    <t>ZAMAN INVEST</t>
  </si>
  <si>
    <t>GALITRA SARL</t>
  </si>
  <si>
    <t xml:space="preserve">LIVRAISON ERRACHIDIA </t>
  </si>
  <si>
    <t>11/09/20254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</si>
</sst>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_-* #,##0.00_-;\-* #,##0.00_-;_-* &quot;-&quot;??_-;_-@_-"/>
    <numFmt numFmtId="166" formatCode="_-* #,##0_-;\-* #,##0_-;_-* &quot;-&quot;??_-;_-@_-"/>
    <numFmt numFmtId="167" formatCode="_-* #,##0.00\ _€_-;\-* #,##0.00\ _€_-;_-* &quot;-&quot;??\ _€_-;_-@_-"/>
    <numFmt numFmtId="168" formatCode="_-* #,##0.0000_-;\-* #,##0.00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2" fontId="3" fillId="2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12" fontId="3" fillId="2" borderId="6" xfId="0" applyNumberFormat="1" applyFon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164" fontId="0" fillId="3" borderId="7" xfId="0" applyNumberFormat="1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6" fontId="0" fillId="3" borderId="4" xfId="1" applyNumberFormat="1" applyFont="1" applyFill="1" applyBorder="1" applyAlignment="1">
      <alignment vertical="center"/>
    </xf>
    <xf numFmtId="166" fontId="0" fillId="3" borderId="2" xfId="1" applyNumberFormat="1" applyFont="1" applyFill="1" applyBorder="1" applyAlignment="1">
      <alignment vertical="center"/>
    </xf>
    <xf numFmtId="165" fontId="0" fillId="3" borderId="4" xfId="1" applyFont="1" applyFill="1" applyBorder="1"/>
    <xf numFmtId="165" fontId="0" fillId="3" borderId="4" xfId="0" applyNumberFormat="1" applyFill="1" applyBorder="1"/>
    <xf numFmtId="165" fontId="4" fillId="3" borderId="4" xfId="1" applyFont="1" applyFill="1" applyBorder="1"/>
    <xf numFmtId="167" fontId="0" fillId="3" borderId="0" xfId="0" applyNumberFormat="1" applyFill="1"/>
    <xf numFmtId="165" fontId="0" fillId="3" borderId="0" xfId="1" applyFont="1" applyFill="1"/>
    <xf numFmtId="166" fontId="0" fillId="3" borderId="8" xfId="1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6" fontId="0" fillId="3" borderId="2" xfId="1" applyNumberFormat="1" applyFon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vertical="center"/>
    </xf>
    <xf numFmtId="168" fontId="0" fillId="3" borderId="4" xfId="1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5" fontId="0" fillId="3" borderId="8" xfId="0" applyNumberFormat="1" applyFill="1" applyBorder="1"/>
    <xf numFmtId="0" fontId="0" fillId="3" borderId="1" xfId="0" applyFill="1" applyBorder="1" applyAlignment="1">
      <alignment horizontal="center" vertical="center" wrapText="1"/>
    </xf>
    <xf numFmtId="166" fontId="0" fillId="3" borderId="4" xfId="0" applyNumberFormat="1" applyFill="1" applyBorder="1"/>
    <xf numFmtId="164" fontId="0" fillId="3" borderId="10" xfId="0" applyNumberFormat="1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165" fontId="0" fillId="0" borderId="0" xfId="1" applyFont="1"/>
    <xf numFmtId="166" fontId="0" fillId="3" borderId="2" xfId="1" applyNumberFormat="1" applyFont="1" applyFill="1" applyBorder="1" applyAlignment="1">
      <alignment horizontal="center" vertical="center"/>
    </xf>
    <xf numFmtId="0" fontId="0" fillId="3" borderId="4" xfId="0" applyFill="1" applyBorder="1"/>
    <xf numFmtId="166" fontId="0" fillId="3" borderId="8" xfId="1" applyNumberFormat="1" applyFont="1" applyFill="1" applyBorder="1" applyAlignment="1">
      <alignment vertical="center"/>
    </xf>
    <xf numFmtId="166" fontId="0" fillId="3" borderId="4" xfId="1" applyNumberFormat="1" applyFont="1" applyFill="1" applyBorder="1" applyAlignment="1">
      <alignment horizontal="center" vertical="center"/>
    </xf>
    <xf numFmtId="166" fontId="0" fillId="3" borderId="8" xfId="1" applyNumberFormat="1" applyFont="1" applyFill="1" applyBorder="1" applyAlignment="1">
      <alignment horizontal="center" vertical="center"/>
    </xf>
    <xf numFmtId="0" fontId="0" fillId="3" borderId="0" xfId="0" applyFill="1"/>
    <xf numFmtId="167" fontId="0" fillId="3" borderId="4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5184-0066-49FA-A677-7EAB7F67FD50}">
  <sheetPr filterMode="1"/>
  <dimension ref="A1:Q917"/>
  <sheetViews>
    <sheetView tabSelected="1" workbookViewId="0">
      <selection activeCell="M899" sqref="M899"/>
    </sheetView>
  </sheetViews>
  <sheetFormatPr defaultColWidth="11.5546875" defaultRowHeight="14.4" x14ac:dyDescent="0.3"/>
  <cols>
    <col min="7" max="7" width="36.6640625" bestFit="1" customWidth="1"/>
    <col min="15" max="15" width="12.6640625" bestFit="1" customWidth="1"/>
    <col min="16" max="16" width="11.33203125" bestFit="1" customWidth="1"/>
  </cols>
  <sheetData>
    <row r="1" spans="1:16" ht="62.4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7">
        <v>45294</v>
      </c>
      <c r="B2" s="8" t="s">
        <v>16</v>
      </c>
      <c r="C2" s="9">
        <v>9.8580000000000005</v>
      </c>
      <c r="D2" s="9">
        <v>10.698</v>
      </c>
      <c r="E2" s="10">
        <v>30000</v>
      </c>
      <c r="F2" s="10">
        <v>32000</v>
      </c>
      <c r="G2" s="11" t="s">
        <v>17</v>
      </c>
      <c r="H2" s="12">
        <v>30000</v>
      </c>
      <c r="I2" s="13">
        <v>3000</v>
      </c>
      <c r="J2" s="11"/>
      <c r="K2" s="14">
        <f>O2-P2</f>
        <v>5029.6363636363531</v>
      </c>
      <c r="L2" s="15">
        <v>10.98</v>
      </c>
      <c r="M2" s="15">
        <v>12.25</v>
      </c>
      <c r="N2" s="16">
        <f t="shared" ref="N2:N65" si="0">(H2*L2)+(I2*M2)</f>
        <v>366150</v>
      </c>
      <c r="O2" s="17">
        <f>N2/1.1</f>
        <v>332863.63636363635</v>
      </c>
      <c r="P2" s="18">
        <f t="shared" ref="P2:P65" si="1">(C2*H2)+(I2*D2)</f>
        <v>327834</v>
      </c>
    </row>
    <row r="3" spans="1:16" x14ac:dyDescent="0.3">
      <c r="A3" s="7">
        <v>45294</v>
      </c>
      <c r="B3" s="8" t="s">
        <v>16</v>
      </c>
      <c r="C3" s="9">
        <v>9.8580000000000005</v>
      </c>
      <c r="D3" s="9">
        <v>10.698</v>
      </c>
      <c r="E3" s="19"/>
      <c r="F3" s="19"/>
      <c r="G3" s="20" t="s">
        <v>17</v>
      </c>
      <c r="H3" s="12">
        <v>0</v>
      </c>
      <c r="I3" s="13">
        <v>17000</v>
      </c>
      <c r="J3" s="11"/>
      <c r="K3" s="14">
        <f>O3-P3</f>
        <v>7452.1818181817944</v>
      </c>
      <c r="L3" s="15">
        <v>0</v>
      </c>
      <c r="M3" s="15">
        <v>12.25</v>
      </c>
      <c r="N3" s="16">
        <f t="shared" si="0"/>
        <v>208250</v>
      </c>
      <c r="O3" s="17">
        <f t="shared" ref="O3:O61" si="2">N3/1.1</f>
        <v>189318.18181818179</v>
      </c>
      <c r="P3" s="18">
        <f t="shared" si="1"/>
        <v>181866</v>
      </c>
    </row>
    <row r="4" spans="1:16" x14ac:dyDescent="0.3">
      <c r="A4" s="7">
        <v>45294</v>
      </c>
      <c r="B4" s="8" t="s">
        <v>16</v>
      </c>
      <c r="C4" s="9">
        <v>9.8580000000000005</v>
      </c>
      <c r="D4" s="9">
        <v>10.698</v>
      </c>
      <c r="E4" s="21"/>
      <c r="F4" s="21"/>
      <c r="G4" s="20" t="s">
        <v>18</v>
      </c>
      <c r="H4" s="12">
        <v>0</v>
      </c>
      <c r="I4" s="13">
        <v>12000</v>
      </c>
      <c r="J4" s="11"/>
      <c r="K4" s="14">
        <f t="shared" ref="K4:K67" si="3">O4-P4</f>
        <v>6896.7272727272648</v>
      </c>
      <c r="L4" s="15">
        <v>0</v>
      </c>
      <c r="M4" s="15">
        <v>12.4</v>
      </c>
      <c r="N4" s="16">
        <f t="shared" si="0"/>
        <v>148800</v>
      </c>
      <c r="O4" s="17">
        <f t="shared" si="2"/>
        <v>135272.72727272726</v>
      </c>
      <c r="P4" s="18">
        <f t="shared" si="1"/>
        <v>128376</v>
      </c>
    </row>
    <row r="5" spans="1:16" x14ac:dyDescent="0.3">
      <c r="A5" s="7">
        <v>45294</v>
      </c>
      <c r="B5" s="8" t="s">
        <v>19</v>
      </c>
      <c r="C5" s="9">
        <v>0</v>
      </c>
      <c r="D5" s="9">
        <v>10.962999999999999</v>
      </c>
      <c r="E5" s="12"/>
      <c r="F5" s="12">
        <v>5000</v>
      </c>
      <c r="G5" s="20" t="s">
        <v>17</v>
      </c>
      <c r="H5" s="12">
        <v>0</v>
      </c>
      <c r="I5" s="12">
        <v>5000</v>
      </c>
      <c r="J5" s="11"/>
      <c r="K5" s="14">
        <f t="shared" si="3"/>
        <v>866.8181818181838</v>
      </c>
      <c r="L5" s="15">
        <v>0</v>
      </c>
      <c r="M5" s="15">
        <v>12.25</v>
      </c>
      <c r="N5" s="16">
        <f t="shared" si="0"/>
        <v>61250</v>
      </c>
      <c r="O5" s="17">
        <f t="shared" si="2"/>
        <v>55681.818181818177</v>
      </c>
      <c r="P5" s="18">
        <f t="shared" si="1"/>
        <v>54814.999999999993</v>
      </c>
    </row>
    <row r="6" spans="1:16" x14ac:dyDescent="0.3">
      <c r="A6" s="7">
        <v>45295</v>
      </c>
      <c r="B6" s="8" t="s">
        <v>20</v>
      </c>
      <c r="C6" s="9">
        <f>10.7/1.1</f>
        <v>9.7272727272727266</v>
      </c>
      <c r="D6" s="9">
        <v>0</v>
      </c>
      <c r="E6" s="10">
        <v>33000</v>
      </c>
      <c r="F6" s="12">
        <v>0</v>
      </c>
      <c r="G6" s="11" t="s">
        <v>21</v>
      </c>
      <c r="H6" s="12">
        <v>22000</v>
      </c>
      <c r="I6" s="12">
        <v>0</v>
      </c>
      <c r="J6" s="11"/>
      <c r="K6" s="14">
        <f t="shared" si="3"/>
        <v>40799.999999999971</v>
      </c>
      <c r="L6" s="15">
        <v>12.74</v>
      </c>
      <c r="M6" s="15">
        <v>0</v>
      </c>
      <c r="N6" s="16">
        <f t="shared" si="0"/>
        <v>280280</v>
      </c>
      <c r="O6" s="17">
        <f>N6/1.1</f>
        <v>254799.99999999997</v>
      </c>
      <c r="P6" s="18">
        <f t="shared" si="1"/>
        <v>214000</v>
      </c>
    </row>
    <row r="7" spans="1:16" hidden="1" x14ac:dyDescent="0.3">
      <c r="A7" s="7">
        <v>45295</v>
      </c>
      <c r="B7" s="8" t="s">
        <v>20</v>
      </c>
      <c r="C7" s="9">
        <f t="shared" ref="C7:C18" si="4">10.7/1.1</f>
        <v>9.7272727272727266</v>
      </c>
      <c r="D7" s="22">
        <v>0</v>
      </c>
      <c r="E7" s="19"/>
      <c r="F7" s="12">
        <v>0</v>
      </c>
      <c r="G7" s="20" t="s">
        <v>22</v>
      </c>
      <c r="H7" s="12">
        <v>5000</v>
      </c>
      <c r="I7" s="12">
        <v>0</v>
      </c>
      <c r="J7" s="11"/>
      <c r="K7" s="14">
        <f t="shared" si="3"/>
        <v>-48636.363636363632</v>
      </c>
      <c r="L7" s="15">
        <v>0</v>
      </c>
      <c r="M7" s="15">
        <v>0</v>
      </c>
      <c r="N7" s="16">
        <f t="shared" si="0"/>
        <v>0</v>
      </c>
      <c r="O7" s="17">
        <f t="shared" si="2"/>
        <v>0</v>
      </c>
      <c r="P7" s="18">
        <f t="shared" si="1"/>
        <v>48636.363636363632</v>
      </c>
    </row>
    <row r="8" spans="1:16" x14ac:dyDescent="0.3">
      <c r="A8" s="7">
        <v>45295</v>
      </c>
      <c r="B8" s="8" t="s">
        <v>20</v>
      </c>
      <c r="C8" s="9">
        <f t="shared" si="4"/>
        <v>9.7272727272727266</v>
      </c>
      <c r="D8" s="22">
        <v>0</v>
      </c>
      <c r="E8" s="21"/>
      <c r="F8" s="12">
        <v>0</v>
      </c>
      <c r="G8" s="20" t="s">
        <v>23</v>
      </c>
      <c r="H8" s="12">
        <v>6000</v>
      </c>
      <c r="I8" s="12">
        <v>0</v>
      </c>
      <c r="J8" s="11"/>
      <c r="K8" s="14">
        <f t="shared" si="3"/>
        <v>11127.272727272728</v>
      </c>
      <c r="L8" s="15">
        <v>12.74</v>
      </c>
      <c r="M8" s="15">
        <v>0</v>
      </c>
      <c r="N8" s="16">
        <f t="shared" si="0"/>
        <v>76440</v>
      </c>
      <c r="O8" s="17">
        <f t="shared" si="2"/>
        <v>69490.909090909088</v>
      </c>
      <c r="P8" s="18">
        <f t="shared" si="1"/>
        <v>58363.63636363636</v>
      </c>
    </row>
    <row r="9" spans="1:16" x14ac:dyDescent="0.3">
      <c r="A9" s="7">
        <v>45295</v>
      </c>
      <c r="B9" s="8" t="s">
        <v>20</v>
      </c>
      <c r="C9" s="9">
        <f t="shared" si="4"/>
        <v>9.7272727272727266</v>
      </c>
      <c r="D9" s="22">
        <v>0</v>
      </c>
      <c r="E9" s="10">
        <v>83000</v>
      </c>
      <c r="F9" s="12">
        <v>0</v>
      </c>
      <c r="G9" s="20" t="s">
        <v>17</v>
      </c>
      <c r="H9" s="12">
        <v>33000</v>
      </c>
      <c r="I9" s="12"/>
      <c r="J9" s="11"/>
      <c r="K9" s="14">
        <f t="shared" si="3"/>
        <v>900</v>
      </c>
      <c r="L9" s="15">
        <v>10.73</v>
      </c>
      <c r="M9" s="15"/>
      <c r="N9" s="16">
        <f t="shared" si="0"/>
        <v>354090</v>
      </c>
      <c r="O9" s="17">
        <f t="shared" si="2"/>
        <v>321900</v>
      </c>
      <c r="P9" s="18">
        <f t="shared" si="1"/>
        <v>321000</v>
      </c>
    </row>
    <row r="10" spans="1:16" x14ac:dyDescent="0.3">
      <c r="A10" s="7">
        <v>45295</v>
      </c>
      <c r="B10" s="8" t="s">
        <v>20</v>
      </c>
      <c r="C10" s="9">
        <f t="shared" si="4"/>
        <v>9.7272727272727266</v>
      </c>
      <c r="D10" s="22">
        <v>0</v>
      </c>
      <c r="E10" s="19"/>
      <c r="F10" s="12">
        <v>0</v>
      </c>
      <c r="G10" s="23" t="s">
        <v>17</v>
      </c>
      <c r="H10" s="12">
        <v>33000</v>
      </c>
      <c r="I10" s="13"/>
      <c r="J10" s="11"/>
      <c r="K10" s="14">
        <f t="shared" si="3"/>
        <v>900</v>
      </c>
      <c r="L10" s="15">
        <v>10.73</v>
      </c>
      <c r="M10" s="15"/>
      <c r="N10" s="16">
        <f t="shared" si="0"/>
        <v>354090</v>
      </c>
      <c r="O10" s="17">
        <f t="shared" si="2"/>
        <v>321900</v>
      </c>
      <c r="P10" s="18">
        <f t="shared" si="1"/>
        <v>321000</v>
      </c>
    </row>
    <row r="11" spans="1:16" x14ac:dyDescent="0.3">
      <c r="A11" s="7">
        <v>45295</v>
      </c>
      <c r="B11" s="8" t="s">
        <v>20</v>
      </c>
      <c r="C11" s="9">
        <f t="shared" si="4"/>
        <v>9.7272727272727266</v>
      </c>
      <c r="D11" s="22">
        <v>0</v>
      </c>
      <c r="E11" s="21"/>
      <c r="F11" s="12">
        <v>0</v>
      </c>
      <c r="G11" s="20" t="s">
        <v>17</v>
      </c>
      <c r="H11" s="12">
        <v>17000</v>
      </c>
      <c r="I11" s="12"/>
      <c r="J11" s="11"/>
      <c r="K11" s="14">
        <f t="shared" si="3"/>
        <v>463.63636363635305</v>
      </c>
      <c r="L11" s="15">
        <v>10.73</v>
      </c>
      <c r="M11" s="15"/>
      <c r="N11" s="16">
        <f t="shared" si="0"/>
        <v>182410</v>
      </c>
      <c r="O11" s="17">
        <f t="shared" si="2"/>
        <v>165827.27272727271</v>
      </c>
      <c r="P11" s="18">
        <f t="shared" si="1"/>
        <v>165363.63636363635</v>
      </c>
    </row>
    <row r="12" spans="1:16" x14ac:dyDescent="0.3">
      <c r="A12" s="7">
        <v>45295</v>
      </c>
      <c r="B12" s="8" t="s">
        <v>19</v>
      </c>
      <c r="C12" s="9"/>
      <c r="D12" s="9">
        <v>10.962999999999999</v>
      </c>
      <c r="E12" s="12"/>
      <c r="F12" s="12">
        <v>3000</v>
      </c>
      <c r="G12" s="20" t="s">
        <v>17</v>
      </c>
      <c r="H12" s="12"/>
      <c r="I12" s="13">
        <v>3000</v>
      </c>
      <c r="J12" s="11"/>
      <c r="K12" s="14">
        <f t="shared" si="3"/>
        <v>247.36363636363239</v>
      </c>
      <c r="L12" s="15"/>
      <c r="M12" s="15">
        <v>12.15</v>
      </c>
      <c r="N12" s="16">
        <f t="shared" si="0"/>
        <v>36450</v>
      </c>
      <c r="O12" s="17">
        <f t="shared" si="2"/>
        <v>33136.363636363632</v>
      </c>
      <c r="P12" s="18">
        <f t="shared" si="1"/>
        <v>32889</v>
      </c>
    </row>
    <row r="13" spans="1:16" x14ac:dyDescent="0.3">
      <c r="A13" s="7">
        <v>45296</v>
      </c>
      <c r="B13" s="8" t="s">
        <v>20</v>
      </c>
      <c r="C13" s="9">
        <f t="shared" si="4"/>
        <v>9.7272727272727266</v>
      </c>
      <c r="D13" s="22">
        <v>0</v>
      </c>
      <c r="E13" s="10">
        <v>98000</v>
      </c>
      <c r="F13" s="12">
        <v>0</v>
      </c>
      <c r="G13" s="23" t="s">
        <v>17</v>
      </c>
      <c r="H13" s="12">
        <v>33000</v>
      </c>
      <c r="I13" s="13"/>
      <c r="J13" s="11"/>
      <c r="K13" s="14">
        <f t="shared" si="3"/>
        <v>900</v>
      </c>
      <c r="L13" s="15">
        <v>10.73</v>
      </c>
      <c r="M13" s="15"/>
      <c r="N13" s="16">
        <f t="shared" si="0"/>
        <v>354090</v>
      </c>
      <c r="O13" s="17">
        <f t="shared" si="2"/>
        <v>321900</v>
      </c>
      <c r="P13" s="18">
        <f t="shared" si="1"/>
        <v>321000</v>
      </c>
    </row>
    <row r="14" spans="1:16" x14ac:dyDescent="0.3">
      <c r="A14" s="7">
        <v>45296</v>
      </c>
      <c r="B14" s="8" t="s">
        <v>20</v>
      </c>
      <c r="C14" s="9">
        <f t="shared" si="4"/>
        <v>9.7272727272727266</v>
      </c>
      <c r="D14" s="22">
        <v>0</v>
      </c>
      <c r="E14" s="19"/>
      <c r="F14" s="12">
        <v>0</v>
      </c>
      <c r="G14" s="20" t="s">
        <v>17</v>
      </c>
      <c r="H14" s="12">
        <v>33000</v>
      </c>
      <c r="I14" s="13"/>
      <c r="J14" s="11"/>
      <c r="K14" s="14">
        <f t="shared" si="3"/>
        <v>900</v>
      </c>
      <c r="L14" s="15">
        <v>10.73</v>
      </c>
      <c r="M14" s="15"/>
      <c r="N14" s="16">
        <f t="shared" si="0"/>
        <v>354090</v>
      </c>
      <c r="O14" s="17">
        <f t="shared" si="2"/>
        <v>321900</v>
      </c>
      <c r="P14" s="18">
        <f t="shared" si="1"/>
        <v>321000</v>
      </c>
    </row>
    <row r="15" spans="1:16" x14ac:dyDescent="0.3">
      <c r="A15" s="7">
        <v>45296</v>
      </c>
      <c r="B15" s="8" t="s">
        <v>20</v>
      </c>
      <c r="C15" s="9">
        <f t="shared" si="4"/>
        <v>9.7272727272727266</v>
      </c>
      <c r="D15" s="22">
        <v>0</v>
      </c>
      <c r="E15" s="19"/>
      <c r="F15" s="12">
        <v>0</v>
      </c>
      <c r="G15" s="20" t="s">
        <v>24</v>
      </c>
      <c r="H15" s="12">
        <v>16000</v>
      </c>
      <c r="I15" s="13"/>
      <c r="J15" s="11"/>
      <c r="K15" s="14">
        <f t="shared" si="3"/>
        <v>26181.818181818177</v>
      </c>
      <c r="L15" s="15">
        <v>12.5</v>
      </c>
      <c r="M15" s="15"/>
      <c r="N15" s="16">
        <f t="shared" si="0"/>
        <v>200000</v>
      </c>
      <c r="O15" s="17">
        <f t="shared" si="2"/>
        <v>181818.18181818179</v>
      </c>
      <c r="P15" s="18">
        <f t="shared" si="1"/>
        <v>155636.36363636362</v>
      </c>
    </row>
    <row r="16" spans="1:16" x14ac:dyDescent="0.3">
      <c r="A16" s="7">
        <v>45296</v>
      </c>
      <c r="B16" s="8" t="s">
        <v>20</v>
      </c>
      <c r="C16" s="9">
        <f t="shared" si="4"/>
        <v>9.7272727272727266</v>
      </c>
      <c r="D16" s="22">
        <v>0</v>
      </c>
      <c r="E16" s="19"/>
      <c r="F16" s="12">
        <v>0</v>
      </c>
      <c r="G16" s="20" t="s">
        <v>25</v>
      </c>
      <c r="H16" s="12">
        <v>10000</v>
      </c>
      <c r="I16" s="13"/>
      <c r="J16" s="11"/>
      <c r="K16" s="14">
        <f t="shared" si="3"/>
        <v>19727.272727272706</v>
      </c>
      <c r="L16" s="15">
        <v>12.87</v>
      </c>
      <c r="M16" s="15"/>
      <c r="N16" s="16">
        <f t="shared" si="0"/>
        <v>128699.99999999999</v>
      </c>
      <c r="O16" s="17">
        <f t="shared" si="2"/>
        <v>116999.99999999997</v>
      </c>
      <c r="P16" s="18">
        <f t="shared" si="1"/>
        <v>97272.727272727265</v>
      </c>
    </row>
    <row r="17" spans="1:16" x14ac:dyDescent="0.3">
      <c r="A17" s="7">
        <v>45296</v>
      </c>
      <c r="B17" s="8" t="s">
        <v>19</v>
      </c>
      <c r="C17" s="9"/>
      <c r="D17" s="9">
        <v>10.698</v>
      </c>
      <c r="E17" s="19"/>
      <c r="F17" s="12">
        <v>2000</v>
      </c>
      <c r="G17" s="20" t="s">
        <v>25</v>
      </c>
      <c r="H17" s="12"/>
      <c r="I17" s="13">
        <v>2000</v>
      </c>
      <c r="J17" s="11"/>
      <c r="K17" s="14">
        <f t="shared" si="3"/>
        <v>4313.0909090909081</v>
      </c>
      <c r="L17" s="15"/>
      <c r="M17" s="15">
        <v>14.14</v>
      </c>
      <c r="N17" s="16">
        <f t="shared" si="0"/>
        <v>28280</v>
      </c>
      <c r="O17" s="17">
        <f t="shared" si="2"/>
        <v>25709.090909090908</v>
      </c>
      <c r="P17" s="18">
        <f t="shared" si="1"/>
        <v>21396</v>
      </c>
    </row>
    <row r="18" spans="1:16" hidden="1" x14ac:dyDescent="0.3">
      <c r="A18" s="7">
        <v>45296</v>
      </c>
      <c r="B18" s="8" t="s">
        <v>20</v>
      </c>
      <c r="C18" s="9">
        <f t="shared" si="4"/>
        <v>9.7272727272727266</v>
      </c>
      <c r="D18" s="22">
        <v>0</v>
      </c>
      <c r="E18" s="21"/>
      <c r="F18" s="12"/>
      <c r="G18" s="20" t="s">
        <v>22</v>
      </c>
      <c r="H18" s="12">
        <v>6000</v>
      </c>
      <c r="I18" s="13"/>
      <c r="J18" s="11"/>
      <c r="K18" s="14">
        <f t="shared" si="3"/>
        <v>-58363.63636363636</v>
      </c>
      <c r="L18" s="15"/>
      <c r="M18" s="15"/>
      <c r="N18" s="16">
        <f t="shared" si="0"/>
        <v>0</v>
      </c>
      <c r="O18" s="17">
        <f t="shared" si="2"/>
        <v>0</v>
      </c>
      <c r="P18" s="18">
        <f t="shared" si="1"/>
        <v>58363.63636363636</v>
      </c>
    </row>
    <row r="19" spans="1:16" x14ac:dyDescent="0.3">
      <c r="A19" s="7">
        <v>45296</v>
      </c>
      <c r="B19" s="8" t="s">
        <v>16</v>
      </c>
      <c r="C19" s="9"/>
      <c r="D19" s="9">
        <v>10.698</v>
      </c>
      <c r="E19" s="24"/>
      <c r="F19" s="10">
        <v>29000</v>
      </c>
      <c r="G19" s="11" t="s">
        <v>17</v>
      </c>
      <c r="H19" s="12"/>
      <c r="I19" s="13">
        <v>17000</v>
      </c>
      <c r="J19" s="11"/>
      <c r="K19" s="14">
        <f t="shared" si="3"/>
        <v>5906.7272727272648</v>
      </c>
      <c r="L19" s="15"/>
      <c r="M19" s="15">
        <v>12.15</v>
      </c>
      <c r="N19" s="16">
        <f t="shared" si="0"/>
        <v>206550</v>
      </c>
      <c r="O19" s="17">
        <f t="shared" si="2"/>
        <v>187772.72727272726</v>
      </c>
      <c r="P19" s="18">
        <f t="shared" si="1"/>
        <v>181866</v>
      </c>
    </row>
    <row r="20" spans="1:16" hidden="1" x14ac:dyDescent="0.3">
      <c r="A20" s="7">
        <v>45296</v>
      </c>
      <c r="B20" s="8" t="s">
        <v>16</v>
      </c>
      <c r="C20" s="9"/>
      <c r="D20" s="9">
        <v>10.698</v>
      </c>
      <c r="E20" s="13"/>
      <c r="F20" s="21"/>
      <c r="G20" s="20" t="s">
        <v>22</v>
      </c>
      <c r="H20" s="12"/>
      <c r="I20" s="13">
        <v>12000</v>
      </c>
      <c r="J20" s="11"/>
      <c r="K20" s="14">
        <f t="shared" si="3"/>
        <v>-128376</v>
      </c>
      <c r="L20" s="15"/>
      <c r="M20" s="15"/>
      <c r="N20" s="16">
        <f t="shared" si="0"/>
        <v>0</v>
      </c>
      <c r="O20" s="17">
        <f t="shared" si="2"/>
        <v>0</v>
      </c>
      <c r="P20" s="18">
        <f t="shared" si="1"/>
        <v>128376</v>
      </c>
    </row>
    <row r="21" spans="1:16" x14ac:dyDescent="0.3">
      <c r="A21" s="7">
        <v>45296</v>
      </c>
      <c r="B21" s="8" t="s">
        <v>19</v>
      </c>
      <c r="C21" s="9"/>
      <c r="D21" s="9">
        <v>10.698</v>
      </c>
      <c r="E21" s="12"/>
      <c r="F21" s="12">
        <v>6000</v>
      </c>
      <c r="G21" s="20" t="s">
        <v>17</v>
      </c>
      <c r="H21" s="12"/>
      <c r="I21" s="13">
        <v>6000</v>
      </c>
      <c r="J21" s="11"/>
      <c r="K21" s="14">
        <f t="shared" si="3"/>
        <v>2084.7272727272648</v>
      </c>
      <c r="L21" s="15"/>
      <c r="M21" s="15">
        <v>12.15</v>
      </c>
      <c r="N21" s="16">
        <f t="shared" si="0"/>
        <v>72900</v>
      </c>
      <c r="O21" s="17">
        <f t="shared" si="2"/>
        <v>66272.727272727265</v>
      </c>
      <c r="P21" s="18">
        <f t="shared" si="1"/>
        <v>64188</v>
      </c>
    </row>
    <row r="22" spans="1:16" x14ac:dyDescent="0.3">
      <c r="A22" s="7">
        <v>45297</v>
      </c>
      <c r="B22" s="8" t="s">
        <v>20</v>
      </c>
      <c r="C22" s="9">
        <f t="shared" ref="C22:C25" si="5">10.7/1.1</f>
        <v>9.7272727272727266</v>
      </c>
      <c r="D22" s="22">
        <v>0</v>
      </c>
      <c r="E22" s="10">
        <v>66000</v>
      </c>
      <c r="F22" s="12"/>
      <c r="G22" s="20" t="s">
        <v>26</v>
      </c>
      <c r="H22" s="12">
        <v>33000</v>
      </c>
      <c r="I22" s="12"/>
      <c r="J22" s="11"/>
      <c r="K22" s="14">
        <f t="shared" si="3"/>
        <v>65399.999999999942</v>
      </c>
      <c r="L22" s="15">
        <v>12.88</v>
      </c>
      <c r="M22" s="15"/>
      <c r="N22" s="16">
        <f t="shared" si="0"/>
        <v>425040</v>
      </c>
      <c r="O22" s="17">
        <f t="shared" si="2"/>
        <v>386399.99999999994</v>
      </c>
      <c r="P22" s="18">
        <f t="shared" si="1"/>
        <v>321000</v>
      </c>
    </row>
    <row r="23" spans="1:16" x14ac:dyDescent="0.3">
      <c r="A23" s="7">
        <v>45297</v>
      </c>
      <c r="B23" s="8" t="s">
        <v>20</v>
      </c>
      <c r="C23" s="9">
        <f t="shared" si="5"/>
        <v>9.7272727272727266</v>
      </c>
      <c r="D23" s="22">
        <v>0</v>
      </c>
      <c r="E23" s="19"/>
      <c r="F23" s="12"/>
      <c r="G23" s="11" t="s">
        <v>27</v>
      </c>
      <c r="H23" s="12">
        <v>31000</v>
      </c>
      <c r="I23" s="12"/>
      <c r="J23" s="11"/>
      <c r="K23" s="14">
        <f t="shared" si="3"/>
        <v>46500</v>
      </c>
      <c r="L23" s="15">
        <v>12.35</v>
      </c>
      <c r="M23" s="15"/>
      <c r="N23" s="16">
        <f t="shared" si="0"/>
        <v>382850</v>
      </c>
      <c r="O23" s="17">
        <f t="shared" si="2"/>
        <v>348045.45454545453</v>
      </c>
      <c r="P23" s="18">
        <f t="shared" si="1"/>
        <v>301545.45454545453</v>
      </c>
    </row>
    <row r="24" spans="1:16" x14ac:dyDescent="0.3">
      <c r="A24" s="7">
        <v>45297</v>
      </c>
      <c r="B24" s="8" t="s">
        <v>19</v>
      </c>
      <c r="C24" s="9"/>
      <c r="D24" s="9">
        <v>10.698</v>
      </c>
      <c r="E24" s="19"/>
      <c r="F24" s="12">
        <v>2000</v>
      </c>
      <c r="G24" s="11" t="s">
        <v>27</v>
      </c>
      <c r="H24" s="12"/>
      <c r="I24" s="13">
        <v>2000</v>
      </c>
      <c r="J24" s="11"/>
      <c r="K24" s="14">
        <f t="shared" si="3"/>
        <v>3731.2727272727243</v>
      </c>
      <c r="L24" s="15"/>
      <c r="M24" s="15">
        <v>13.82</v>
      </c>
      <c r="N24" s="16">
        <f t="shared" si="0"/>
        <v>27640</v>
      </c>
      <c r="O24" s="17">
        <f t="shared" si="2"/>
        <v>25127.272727272724</v>
      </c>
      <c r="P24" s="18">
        <f t="shared" si="1"/>
        <v>21396</v>
      </c>
    </row>
    <row r="25" spans="1:16" hidden="1" x14ac:dyDescent="0.3">
      <c r="A25" s="7">
        <v>45297</v>
      </c>
      <c r="B25" s="8" t="s">
        <v>20</v>
      </c>
      <c r="C25" s="9">
        <f t="shared" si="5"/>
        <v>9.7272727272727266</v>
      </c>
      <c r="D25" s="22">
        <v>0</v>
      </c>
      <c r="E25" s="21"/>
      <c r="F25" s="24"/>
      <c r="G25" s="20" t="s">
        <v>22</v>
      </c>
      <c r="H25" s="12">
        <v>2000</v>
      </c>
      <c r="I25" s="13"/>
      <c r="J25" s="11"/>
      <c r="K25" s="14"/>
      <c r="L25" s="15"/>
      <c r="M25" s="15"/>
      <c r="N25" s="16"/>
      <c r="O25" s="17"/>
      <c r="P25" s="18"/>
    </row>
    <row r="26" spans="1:16" x14ac:dyDescent="0.3">
      <c r="A26" s="7">
        <v>45297</v>
      </c>
      <c r="B26" s="8" t="s">
        <v>16</v>
      </c>
      <c r="C26" s="9">
        <v>0</v>
      </c>
      <c r="D26" s="9">
        <v>10.698</v>
      </c>
      <c r="E26" s="12"/>
      <c r="F26" s="10">
        <v>12000</v>
      </c>
      <c r="G26" s="20" t="s">
        <v>18</v>
      </c>
      <c r="H26" s="12"/>
      <c r="I26" s="13">
        <v>5000</v>
      </c>
      <c r="J26" s="11"/>
      <c r="K26" s="14">
        <f t="shared" si="3"/>
        <v>1737.2727272727207</v>
      </c>
      <c r="L26" s="15"/>
      <c r="M26" s="15">
        <v>12.15</v>
      </c>
      <c r="N26" s="16">
        <f t="shared" si="0"/>
        <v>60750</v>
      </c>
      <c r="O26" s="17">
        <f t="shared" si="2"/>
        <v>55227.272727272721</v>
      </c>
      <c r="P26" s="18">
        <f t="shared" si="1"/>
        <v>53490</v>
      </c>
    </row>
    <row r="27" spans="1:16" hidden="1" x14ac:dyDescent="0.3">
      <c r="A27" s="7">
        <v>45297</v>
      </c>
      <c r="B27" s="8" t="s">
        <v>16</v>
      </c>
      <c r="C27" s="9">
        <v>0</v>
      </c>
      <c r="D27" s="9">
        <v>10.698</v>
      </c>
      <c r="E27" s="12"/>
      <c r="F27" s="19"/>
      <c r="G27" s="20" t="s">
        <v>22</v>
      </c>
      <c r="H27" s="12"/>
      <c r="I27" s="13">
        <v>3000</v>
      </c>
      <c r="J27" s="11"/>
      <c r="K27" s="14">
        <f t="shared" si="3"/>
        <v>-32094</v>
      </c>
      <c r="L27" s="15"/>
      <c r="M27" s="15"/>
      <c r="N27" s="16">
        <f t="shared" si="0"/>
        <v>0</v>
      </c>
      <c r="O27" s="17">
        <f t="shared" si="2"/>
        <v>0</v>
      </c>
      <c r="P27" s="18">
        <f t="shared" si="1"/>
        <v>32094</v>
      </c>
    </row>
    <row r="28" spans="1:16" x14ac:dyDescent="0.3">
      <c r="A28" s="7">
        <v>45297</v>
      </c>
      <c r="B28" s="8" t="s">
        <v>19</v>
      </c>
      <c r="C28" s="9">
        <f t="shared" ref="C28:C29" si="6">10.7/1.1</f>
        <v>9.7272727272727266</v>
      </c>
      <c r="D28" s="9">
        <v>10.698</v>
      </c>
      <c r="E28" s="12"/>
      <c r="F28" s="21"/>
      <c r="G28" s="11" t="s">
        <v>23</v>
      </c>
      <c r="H28" s="12"/>
      <c r="I28" s="13">
        <v>4000</v>
      </c>
      <c r="J28" s="11"/>
      <c r="K28" s="14">
        <f t="shared" si="3"/>
        <v>7971.6363636363603</v>
      </c>
      <c r="L28" s="15"/>
      <c r="M28" s="15">
        <v>13.96</v>
      </c>
      <c r="N28" s="16">
        <f t="shared" si="0"/>
        <v>55840</v>
      </c>
      <c r="O28" s="17">
        <f t="shared" si="2"/>
        <v>50763.63636363636</v>
      </c>
      <c r="P28" s="18">
        <f t="shared" si="1"/>
        <v>42792</v>
      </c>
    </row>
    <row r="29" spans="1:16" x14ac:dyDescent="0.3">
      <c r="A29" s="7">
        <v>45297</v>
      </c>
      <c r="B29" s="8" t="s">
        <v>19</v>
      </c>
      <c r="C29" s="9">
        <f t="shared" si="6"/>
        <v>9.7272727272727266</v>
      </c>
      <c r="D29" s="22"/>
      <c r="E29" s="12">
        <v>4000</v>
      </c>
      <c r="F29" s="12"/>
      <c r="G29" s="11" t="s">
        <v>23</v>
      </c>
      <c r="H29" s="12">
        <v>4000</v>
      </c>
      <c r="I29" s="13"/>
      <c r="J29" s="11"/>
      <c r="K29" s="14">
        <f t="shared" si="3"/>
        <v>7418.1818181818162</v>
      </c>
      <c r="L29" s="15">
        <v>12.74</v>
      </c>
      <c r="M29" s="15"/>
      <c r="N29" s="16">
        <f t="shared" si="0"/>
        <v>50960</v>
      </c>
      <c r="O29" s="17">
        <f t="shared" si="2"/>
        <v>46327.272727272721</v>
      </c>
      <c r="P29" s="18">
        <f t="shared" si="1"/>
        <v>38909.090909090904</v>
      </c>
    </row>
    <row r="30" spans="1:16" x14ac:dyDescent="0.3">
      <c r="A30" s="7">
        <v>45297</v>
      </c>
      <c r="B30" s="8" t="s">
        <v>19</v>
      </c>
      <c r="C30" s="9"/>
      <c r="D30" s="9">
        <v>10.698</v>
      </c>
      <c r="E30" s="12"/>
      <c r="F30" s="12">
        <v>4000</v>
      </c>
      <c r="G30" s="11" t="s">
        <v>17</v>
      </c>
      <c r="H30" s="12"/>
      <c r="I30" s="13">
        <v>4000</v>
      </c>
      <c r="J30" s="11"/>
      <c r="K30" s="14">
        <f t="shared" si="3"/>
        <v>1389.8181818181765</v>
      </c>
      <c r="L30" s="15"/>
      <c r="M30" s="15">
        <v>12.15</v>
      </c>
      <c r="N30" s="16">
        <f t="shared" si="0"/>
        <v>48600</v>
      </c>
      <c r="O30" s="17">
        <f t="shared" si="2"/>
        <v>44181.818181818177</v>
      </c>
      <c r="P30" s="18">
        <f t="shared" si="1"/>
        <v>42792</v>
      </c>
    </row>
    <row r="31" spans="1:16" x14ac:dyDescent="0.3">
      <c r="A31" s="7">
        <v>45299</v>
      </c>
      <c r="B31" s="8" t="s">
        <v>16</v>
      </c>
      <c r="C31" s="9">
        <v>9.7880000000000003</v>
      </c>
      <c r="D31" s="9">
        <v>10.698</v>
      </c>
      <c r="E31" s="10">
        <v>56000</v>
      </c>
      <c r="F31" s="10">
        <v>27000</v>
      </c>
      <c r="G31" s="11" t="s">
        <v>17</v>
      </c>
      <c r="H31" s="12">
        <v>33000</v>
      </c>
      <c r="I31" s="13"/>
      <c r="J31" s="11"/>
      <c r="K31" s="14">
        <f t="shared" si="3"/>
        <v>996</v>
      </c>
      <c r="L31" s="15">
        <v>10.8</v>
      </c>
      <c r="M31" s="15"/>
      <c r="N31" s="16">
        <f t="shared" si="0"/>
        <v>356400</v>
      </c>
      <c r="O31" s="17">
        <f t="shared" si="2"/>
        <v>324000</v>
      </c>
      <c r="P31" s="18">
        <f t="shared" si="1"/>
        <v>323004</v>
      </c>
    </row>
    <row r="32" spans="1:16" x14ac:dyDescent="0.3">
      <c r="A32" s="7">
        <v>45299</v>
      </c>
      <c r="B32" s="8" t="s">
        <v>16</v>
      </c>
      <c r="C32" s="9">
        <v>9.7880000000000003</v>
      </c>
      <c r="D32" s="9">
        <v>10.698</v>
      </c>
      <c r="E32" s="19"/>
      <c r="F32" s="19"/>
      <c r="G32" s="11" t="s">
        <v>28</v>
      </c>
      <c r="H32" s="12">
        <v>10000</v>
      </c>
      <c r="I32" s="13">
        <v>10000</v>
      </c>
      <c r="J32" s="11"/>
      <c r="K32" s="14">
        <f t="shared" si="3"/>
        <v>37230.909090909059</v>
      </c>
      <c r="L32" s="15">
        <v>12.68</v>
      </c>
      <c r="M32" s="15">
        <v>13.95</v>
      </c>
      <c r="N32" s="16">
        <f t="shared" si="0"/>
        <v>266300</v>
      </c>
      <c r="O32" s="17">
        <f t="shared" si="2"/>
        <v>242090.90909090906</v>
      </c>
      <c r="P32" s="18">
        <f t="shared" si="1"/>
        <v>204860</v>
      </c>
    </row>
    <row r="33" spans="1:16" x14ac:dyDescent="0.3">
      <c r="A33" s="7">
        <v>45299</v>
      </c>
      <c r="B33" s="8" t="s">
        <v>16</v>
      </c>
      <c r="C33" s="9">
        <v>9.7880000000000003</v>
      </c>
      <c r="D33" s="9">
        <v>10.698</v>
      </c>
      <c r="E33" s="19"/>
      <c r="F33" s="19"/>
      <c r="G33" s="11" t="s">
        <v>29</v>
      </c>
      <c r="H33" s="12">
        <v>13000</v>
      </c>
      <c r="I33" s="13"/>
      <c r="J33" s="11"/>
      <c r="K33" s="14">
        <f t="shared" si="3"/>
        <v>22137.818181818177</v>
      </c>
      <c r="L33" s="15">
        <v>12.64</v>
      </c>
      <c r="M33" s="15"/>
      <c r="N33" s="16">
        <f t="shared" si="0"/>
        <v>164320</v>
      </c>
      <c r="O33" s="17">
        <f t="shared" si="2"/>
        <v>149381.81818181818</v>
      </c>
      <c r="P33" s="18">
        <f t="shared" si="1"/>
        <v>127244</v>
      </c>
    </row>
    <row r="34" spans="1:16" x14ac:dyDescent="0.3">
      <c r="A34" s="7">
        <v>45299</v>
      </c>
      <c r="B34" s="8" t="s">
        <v>16</v>
      </c>
      <c r="C34" s="9">
        <v>9.7880000000000003</v>
      </c>
      <c r="D34" s="9">
        <v>10.698</v>
      </c>
      <c r="E34" s="19"/>
      <c r="F34" s="19"/>
      <c r="G34" s="20" t="s">
        <v>17</v>
      </c>
      <c r="H34" s="12"/>
      <c r="I34" s="13">
        <v>7000</v>
      </c>
      <c r="J34" s="11"/>
      <c r="K34" s="14">
        <f t="shared" si="3"/>
        <v>2432.1818181818089</v>
      </c>
      <c r="L34" s="15"/>
      <c r="M34" s="15">
        <v>12.15</v>
      </c>
      <c r="N34" s="16">
        <f t="shared" si="0"/>
        <v>85050</v>
      </c>
      <c r="O34" s="17">
        <f t="shared" si="2"/>
        <v>77318.181818181809</v>
      </c>
      <c r="P34" s="18">
        <f t="shared" si="1"/>
        <v>74886</v>
      </c>
    </row>
    <row r="35" spans="1:16" hidden="1" x14ac:dyDescent="0.3">
      <c r="A35" s="7">
        <v>45299</v>
      </c>
      <c r="B35" s="8" t="s">
        <v>16</v>
      </c>
      <c r="C35" s="9">
        <v>9.7880000000000003</v>
      </c>
      <c r="D35" s="9">
        <v>10.698</v>
      </c>
      <c r="E35" s="21"/>
      <c r="F35" s="21"/>
      <c r="G35" s="11" t="s">
        <v>22</v>
      </c>
      <c r="H35" s="12"/>
      <c r="I35" s="13">
        <v>10000</v>
      </c>
      <c r="J35" s="11"/>
      <c r="K35" s="14">
        <f t="shared" si="3"/>
        <v>-106980</v>
      </c>
      <c r="L35" s="15"/>
      <c r="M35" s="15"/>
      <c r="N35" s="16">
        <f t="shared" si="0"/>
        <v>0</v>
      </c>
      <c r="O35" s="17">
        <f t="shared" si="2"/>
        <v>0</v>
      </c>
      <c r="P35" s="18">
        <f t="shared" si="1"/>
        <v>106980</v>
      </c>
    </row>
    <row r="36" spans="1:16" x14ac:dyDescent="0.3">
      <c r="A36" s="7">
        <v>45300</v>
      </c>
      <c r="B36" s="8" t="s">
        <v>20</v>
      </c>
      <c r="C36" s="9">
        <f>10.67/1.1</f>
        <v>9.6999999999999993</v>
      </c>
      <c r="D36" s="22">
        <v>0</v>
      </c>
      <c r="E36" s="10">
        <f>65000+33000</f>
        <v>98000</v>
      </c>
      <c r="F36" s="10"/>
      <c r="G36" s="11" t="s">
        <v>17</v>
      </c>
      <c r="H36" s="12">
        <v>33000</v>
      </c>
      <c r="I36" s="13"/>
      <c r="J36" s="11"/>
      <c r="K36" s="14">
        <f t="shared" si="3"/>
        <v>1800</v>
      </c>
      <c r="L36" s="15">
        <v>10.73</v>
      </c>
      <c r="M36" s="15"/>
      <c r="N36" s="16">
        <f t="shared" si="0"/>
        <v>354090</v>
      </c>
      <c r="O36" s="17">
        <f t="shared" si="2"/>
        <v>321900</v>
      </c>
      <c r="P36" s="18">
        <f t="shared" si="1"/>
        <v>320100</v>
      </c>
    </row>
    <row r="37" spans="1:16" x14ac:dyDescent="0.3">
      <c r="A37" s="7">
        <v>45300</v>
      </c>
      <c r="B37" s="8" t="s">
        <v>20</v>
      </c>
      <c r="C37" s="9">
        <v>9.6999999999999993</v>
      </c>
      <c r="D37" s="22">
        <v>0</v>
      </c>
      <c r="E37" s="19"/>
      <c r="F37" s="19"/>
      <c r="G37" s="11" t="s">
        <v>17</v>
      </c>
      <c r="H37" s="12">
        <v>33000</v>
      </c>
      <c r="I37" s="13"/>
      <c r="J37" s="11"/>
      <c r="K37" s="14">
        <f t="shared" si="3"/>
        <v>1800</v>
      </c>
      <c r="L37" s="15">
        <v>10.73</v>
      </c>
      <c r="M37" s="15"/>
      <c r="N37" s="16">
        <f t="shared" si="0"/>
        <v>354090</v>
      </c>
      <c r="O37" s="17">
        <f t="shared" si="2"/>
        <v>321900</v>
      </c>
      <c r="P37" s="18">
        <f t="shared" si="1"/>
        <v>320100</v>
      </c>
    </row>
    <row r="38" spans="1:16" x14ac:dyDescent="0.3">
      <c r="A38" s="7">
        <v>45300</v>
      </c>
      <c r="B38" s="8" t="s">
        <v>20</v>
      </c>
      <c r="C38" s="9">
        <v>9.6999999999999993</v>
      </c>
      <c r="D38" s="22">
        <v>0</v>
      </c>
      <c r="E38" s="19"/>
      <c r="F38" s="19"/>
      <c r="G38" s="11" t="s">
        <v>30</v>
      </c>
      <c r="H38" s="12">
        <v>15000</v>
      </c>
      <c r="I38" s="13"/>
      <c r="J38" s="11"/>
      <c r="K38" s="14">
        <f t="shared" si="3"/>
        <v>23590.909090909088</v>
      </c>
      <c r="L38" s="15">
        <v>12.4</v>
      </c>
      <c r="M38" s="15"/>
      <c r="N38" s="16">
        <f t="shared" si="0"/>
        <v>186000</v>
      </c>
      <c r="O38" s="17">
        <f t="shared" si="2"/>
        <v>169090.90909090909</v>
      </c>
      <c r="P38" s="18">
        <f t="shared" si="1"/>
        <v>145500</v>
      </c>
    </row>
    <row r="39" spans="1:16" hidden="1" x14ac:dyDescent="0.3">
      <c r="A39" s="7">
        <v>45300</v>
      </c>
      <c r="B39" s="8" t="s">
        <v>20</v>
      </c>
      <c r="C39" s="9">
        <v>9.6999999999999993</v>
      </c>
      <c r="D39" s="22">
        <v>0</v>
      </c>
      <c r="E39" s="19"/>
      <c r="F39" s="19"/>
      <c r="G39" s="11" t="s">
        <v>22</v>
      </c>
      <c r="H39" s="12">
        <v>2000</v>
      </c>
      <c r="I39" s="13"/>
      <c r="J39" s="11"/>
      <c r="K39" s="14">
        <f t="shared" si="3"/>
        <v>-19400</v>
      </c>
      <c r="L39" s="15">
        <v>0</v>
      </c>
      <c r="M39" s="15"/>
      <c r="N39" s="16">
        <f t="shared" si="0"/>
        <v>0</v>
      </c>
      <c r="O39" s="17">
        <f t="shared" si="2"/>
        <v>0</v>
      </c>
      <c r="P39" s="18">
        <f t="shared" si="1"/>
        <v>19400</v>
      </c>
    </row>
    <row r="40" spans="1:16" x14ac:dyDescent="0.3">
      <c r="A40" s="7">
        <v>45300</v>
      </c>
      <c r="B40" s="8" t="s">
        <v>20</v>
      </c>
      <c r="C40" s="9">
        <v>9.6999999999999993</v>
      </c>
      <c r="D40" s="22">
        <v>0</v>
      </c>
      <c r="E40" s="19"/>
      <c r="F40" s="21"/>
      <c r="G40" s="11" t="s">
        <v>31</v>
      </c>
      <c r="H40" s="12">
        <v>15000</v>
      </c>
      <c r="I40" s="13"/>
      <c r="J40" s="11"/>
      <c r="K40" s="14">
        <f t="shared" si="3"/>
        <v>24545.45454545453</v>
      </c>
      <c r="L40" s="15">
        <v>12.47</v>
      </c>
      <c r="M40" s="15"/>
      <c r="N40" s="16">
        <f t="shared" si="0"/>
        <v>187050</v>
      </c>
      <c r="O40" s="17">
        <f t="shared" si="2"/>
        <v>170045.45454545453</v>
      </c>
      <c r="P40" s="18">
        <f t="shared" si="1"/>
        <v>145500</v>
      </c>
    </row>
    <row r="41" spans="1:16" x14ac:dyDescent="0.3">
      <c r="A41" s="7">
        <v>45300</v>
      </c>
      <c r="B41" s="8" t="s">
        <v>19</v>
      </c>
      <c r="C41" s="25"/>
      <c r="D41" s="9">
        <v>10.698</v>
      </c>
      <c r="E41" s="21"/>
      <c r="F41" s="12">
        <v>2000</v>
      </c>
      <c r="G41" s="11" t="s">
        <v>31</v>
      </c>
      <c r="H41" s="12"/>
      <c r="I41" s="13">
        <v>2000</v>
      </c>
      <c r="J41" s="11"/>
      <c r="K41" s="14">
        <f t="shared" si="3"/>
        <v>3694.9090909090883</v>
      </c>
      <c r="L41" s="15"/>
      <c r="M41" s="15">
        <v>13.8</v>
      </c>
      <c r="N41" s="16">
        <f t="shared" si="0"/>
        <v>27600</v>
      </c>
      <c r="O41" s="17">
        <f t="shared" si="2"/>
        <v>25090.909090909088</v>
      </c>
      <c r="P41" s="18">
        <f t="shared" si="1"/>
        <v>21396</v>
      </c>
    </row>
    <row r="42" spans="1:16" x14ac:dyDescent="0.3">
      <c r="A42" s="7">
        <v>45300</v>
      </c>
      <c r="B42" s="8" t="s">
        <v>16</v>
      </c>
      <c r="C42" s="9">
        <v>9.7880000000000003</v>
      </c>
      <c r="D42" s="9">
        <v>10.698</v>
      </c>
      <c r="E42" s="10">
        <v>25000</v>
      </c>
      <c r="F42" s="10">
        <f>6000+17000</f>
        <v>23000</v>
      </c>
      <c r="G42" s="26" t="s">
        <v>32</v>
      </c>
      <c r="H42" s="12">
        <v>25000</v>
      </c>
      <c r="I42" s="13">
        <v>6000</v>
      </c>
      <c r="J42" s="11"/>
      <c r="K42" s="14">
        <f t="shared" si="3"/>
        <v>4202.9090909090592</v>
      </c>
      <c r="L42" s="15">
        <v>10.8</v>
      </c>
      <c r="M42" s="15">
        <v>12.4</v>
      </c>
      <c r="N42" s="16">
        <f t="shared" si="0"/>
        <v>344400</v>
      </c>
      <c r="O42" s="17">
        <f t="shared" si="2"/>
        <v>313090.90909090906</v>
      </c>
      <c r="P42" s="18">
        <f t="shared" si="1"/>
        <v>308888</v>
      </c>
    </row>
    <row r="43" spans="1:16" x14ac:dyDescent="0.3">
      <c r="A43" s="7">
        <v>45300</v>
      </c>
      <c r="B43" s="8" t="s">
        <v>16</v>
      </c>
      <c r="C43" s="9">
        <v>9.7880000000000003</v>
      </c>
      <c r="D43" s="9">
        <v>10.698</v>
      </c>
      <c r="E43" s="21"/>
      <c r="F43" s="21"/>
      <c r="G43" s="11" t="s">
        <v>17</v>
      </c>
      <c r="H43" s="12">
        <v>0</v>
      </c>
      <c r="I43" s="13">
        <v>17000</v>
      </c>
      <c r="J43" s="11"/>
      <c r="K43" s="14">
        <f t="shared" si="3"/>
        <v>5906.7272727272648</v>
      </c>
      <c r="L43" s="15"/>
      <c r="M43" s="15">
        <v>12.15</v>
      </c>
      <c r="N43" s="16">
        <f t="shared" si="0"/>
        <v>206550</v>
      </c>
      <c r="O43" s="17">
        <f t="shared" si="2"/>
        <v>187772.72727272726</v>
      </c>
      <c r="P43" s="18">
        <f t="shared" si="1"/>
        <v>181866</v>
      </c>
    </row>
    <row r="44" spans="1:16" x14ac:dyDescent="0.3">
      <c r="A44" s="7">
        <v>45300</v>
      </c>
      <c r="B44" s="8" t="s">
        <v>19</v>
      </c>
      <c r="C44" s="25"/>
      <c r="D44" s="22">
        <v>10.698</v>
      </c>
      <c r="E44" s="12"/>
      <c r="F44" s="12">
        <v>3000</v>
      </c>
      <c r="G44" s="11" t="s">
        <v>17</v>
      </c>
      <c r="H44" s="12"/>
      <c r="I44" s="13">
        <v>3000</v>
      </c>
      <c r="J44" s="11"/>
      <c r="K44" s="14">
        <f t="shared" si="3"/>
        <v>1042.3636363636324</v>
      </c>
      <c r="L44" s="15"/>
      <c r="M44" s="15">
        <v>12.15</v>
      </c>
      <c r="N44" s="16">
        <f t="shared" si="0"/>
        <v>36450</v>
      </c>
      <c r="O44" s="17">
        <f t="shared" si="2"/>
        <v>33136.363636363632</v>
      </c>
      <c r="P44" s="18">
        <f t="shared" si="1"/>
        <v>32094</v>
      </c>
    </row>
    <row r="45" spans="1:16" x14ac:dyDescent="0.3">
      <c r="A45" s="7">
        <v>45301</v>
      </c>
      <c r="B45" s="8" t="s">
        <v>16</v>
      </c>
      <c r="C45" s="9">
        <v>9.7880000000000003</v>
      </c>
      <c r="D45" s="9">
        <v>10.698</v>
      </c>
      <c r="E45" s="10">
        <v>10000</v>
      </c>
      <c r="F45" s="10">
        <v>21000</v>
      </c>
      <c r="G45" s="20" t="s">
        <v>18</v>
      </c>
      <c r="H45" s="12"/>
      <c r="I45" s="13">
        <v>14000</v>
      </c>
      <c r="J45" s="11"/>
      <c r="K45" s="14">
        <f t="shared" si="3"/>
        <v>4864.3636363636178</v>
      </c>
      <c r="L45" s="15"/>
      <c r="M45" s="15">
        <v>12.15</v>
      </c>
      <c r="N45" s="16">
        <f t="shared" si="0"/>
        <v>170100</v>
      </c>
      <c r="O45" s="17">
        <f t="shared" si="2"/>
        <v>154636.36363636362</v>
      </c>
      <c r="P45" s="18">
        <f t="shared" si="1"/>
        <v>149772</v>
      </c>
    </row>
    <row r="46" spans="1:16" x14ac:dyDescent="0.3">
      <c r="A46" s="7">
        <v>45301</v>
      </c>
      <c r="B46" s="8" t="s">
        <v>16</v>
      </c>
      <c r="C46" s="9">
        <v>9.7880000000000003</v>
      </c>
      <c r="D46" s="9">
        <v>10.698</v>
      </c>
      <c r="E46" s="21"/>
      <c r="F46" s="21"/>
      <c r="G46" s="11" t="s">
        <v>17</v>
      </c>
      <c r="H46" s="12">
        <v>10000</v>
      </c>
      <c r="I46" s="13">
        <v>7000</v>
      </c>
      <c r="J46" s="11"/>
      <c r="K46" s="14">
        <f t="shared" si="3"/>
        <v>2734</v>
      </c>
      <c r="L46" s="15">
        <v>10.8</v>
      </c>
      <c r="M46" s="15">
        <v>12.15</v>
      </c>
      <c r="N46" s="16">
        <f t="shared" si="0"/>
        <v>193050</v>
      </c>
      <c r="O46" s="17">
        <f t="shared" si="2"/>
        <v>175500</v>
      </c>
      <c r="P46" s="18">
        <f t="shared" si="1"/>
        <v>172766</v>
      </c>
    </row>
    <row r="47" spans="1:16" x14ac:dyDescent="0.3">
      <c r="A47" s="7">
        <v>45301</v>
      </c>
      <c r="B47" s="8" t="s">
        <v>20</v>
      </c>
      <c r="C47" s="9">
        <v>9.6999999999999993</v>
      </c>
      <c r="D47" s="22">
        <v>0</v>
      </c>
      <c r="E47" s="10">
        <v>83000</v>
      </c>
      <c r="F47" s="10"/>
      <c r="G47" s="11" t="s">
        <v>17</v>
      </c>
      <c r="H47" s="12">
        <v>33000</v>
      </c>
      <c r="I47" s="13"/>
      <c r="J47" s="11"/>
      <c r="K47" s="14">
        <f t="shared" si="3"/>
        <v>1800</v>
      </c>
      <c r="L47" s="15">
        <v>10.73</v>
      </c>
      <c r="M47" s="15"/>
      <c r="N47" s="16">
        <f t="shared" si="0"/>
        <v>354090</v>
      </c>
      <c r="O47" s="17">
        <f t="shared" si="2"/>
        <v>321900</v>
      </c>
      <c r="P47" s="18">
        <f t="shared" si="1"/>
        <v>320100</v>
      </c>
    </row>
    <row r="48" spans="1:16" x14ac:dyDescent="0.3">
      <c r="A48" s="7">
        <v>45301</v>
      </c>
      <c r="B48" s="8" t="s">
        <v>20</v>
      </c>
      <c r="C48" s="9">
        <v>9.6999999999999993</v>
      </c>
      <c r="D48" s="22">
        <v>0</v>
      </c>
      <c r="E48" s="19"/>
      <c r="F48" s="19"/>
      <c r="G48" s="11" t="s">
        <v>17</v>
      </c>
      <c r="H48" s="12">
        <v>33000</v>
      </c>
      <c r="I48" s="13"/>
      <c r="J48" s="11"/>
      <c r="K48" s="14">
        <f t="shared" si="3"/>
        <v>1800</v>
      </c>
      <c r="L48" s="15">
        <v>10.73</v>
      </c>
      <c r="M48" s="15"/>
      <c r="N48" s="16">
        <f t="shared" si="0"/>
        <v>354090</v>
      </c>
      <c r="O48" s="17">
        <f t="shared" si="2"/>
        <v>321900</v>
      </c>
      <c r="P48" s="18">
        <f t="shared" si="1"/>
        <v>320100</v>
      </c>
    </row>
    <row r="49" spans="1:16" x14ac:dyDescent="0.3">
      <c r="A49" s="7">
        <v>45302</v>
      </c>
      <c r="B49" s="8" t="s">
        <v>20</v>
      </c>
      <c r="C49" s="9">
        <v>9.6999999999999993</v>
      </c>
      <c r="D49" s="22">
        <v>0</v>
      </c>
      <c r="E49" s="19"/>
      <c r="F49" s="19"/>
      <c r="G49" s="11" t="s">
        <v>17</v>
      </c>
      <c r="H49" s="12">
        <v>17000</v>
      </c>
      <c r="I49" s="13"/>
      <c r="J49" s="11"/>
      <c r="K49" s="14">
        <f t="shared" si="3"/>
        <v>927.27272727270611</v>
      </c>
      <c r="L49" s="15">
        <v>10.73</v>
      </c>
      <c r="M49" s="15"/>
      <c r="N49" s="16">
        <f t="shared" si="0"/>
        <v>182410</v>
      </c>
      <c r="O49" s="17">
        <f t="shared" si="2"/>
        <v>165827.27272727271</v>
      </c>
      <c r="P49" s="18">
        <f t="shared" si="1"/>
        <v>164900</v>
      </c>
    </row>
    <row r="50" spans="1:16" x14ac:dyDescent="0.3">
      <c r="A50" s="7">
        <v>45301</v>
      </c>
      <c r="B50" s="8" t="s">
        <v>19</v>
      </c>
      <c r="C50" s="9">
        <f t="shared" ref="C50" si="7">10.7/1.1</f>
        <v>9.7272727272727266</v>
      </c>
      <c r="D50" s="9">
        <v>10.698</v>
      </c>
      <c r="E50" s="13">
        <v>8000</v>
      </c>
      <c r="F50" s="13">
        <v>4000</v>
      </c>
      <c r="G50" s="11" t="s">
        <v>23</v>
      </c>
      <c r="H50" s="12">
        <v>8000</v>
      </c>
      <c r="I50" s="13">
        <v>4000</v>
      </c>
      <c r="J50" s="11"/>
      <c r="K50" s="14">
        <f>O50-P50</f>
        <v>22807.999999999985</v>
      </c>
      <c r="L50" s="15">
        <v>12.74</v>
      </c>
      <c r="M50" s="15">
        <v>13.96</v>
      </c>
      <c r="N50" s="16">
        <f>(H50*L50+(I50*M50))</f>
        <v>157760</v>
      </c>
      <c r="O50" s="17">
        <f t="shared" si="2"/>
        <v>143418.18181818179</v>
      </c>
      <c r="P50" s="18">
        <f t="shared" si="1"/>
        <v>120610.18181818181</v>
      </c>
    </row>
    <row r="51" spans="1:16" x14ac:dyDescent="0.3">
      <c r="A51" s="7">
        <v>45303</v>
      </c>
      <c r="B51" s="8" t="s">
        <v>20</v>
      </c>
      <c r="C51" s="9">
        <v>9.6999999999999993</v>
      </c>
      <c r="D51" s="22">
        <v>0</v>
      </c>
      <c r="E51" s="10">
        <v>66000</v>
      </c>
      <c r="F51" s="12"/>
      <c r="G51" s="11" t="s">
        <v>17</v>
      </c>
      <c r="H51" s="12">
        <v>33000</v>
      </c>
      <c r="I51" s="13"/>
      <c r="J51" s="11"/>
      <c r="K51" s="14">
        <f>O51-P51</f>
        <v>900</v>
      </c>
      <c r="L51" s="27">
        <v>10.7</v>
      </c>
      <c r="M51" s="15"/>
      <c r="N51" s="16">
        <f>(H51*L51+(I51*M51))</f>
        <v>353100</v>
      </c>
      <c r="O51" s="17">
        <f>N51/1.1</f>
        <v>321000</v>
      </c>
      <c r="P51" s="18">
        <f>(C51*H51)+(I51*D51)</f>
        <v>320100</v>
      </c>
    </row>
    <row r="52" spans="1:16" x14ac:dyDescent="0.3">
      <c r="A52" s="7">
        <v>45304</v>
      </c>
      <c r="B52" s="8" t="s">
        <v>20</v>
      </c>
      <c r="C52" s="9">
        <v>9.6999999999999993</v>
      </c>
      <c r="D52" s="22">
        <v>0</v>
      </c>
      <c r="E52" s="21"/>
      <c r="F52" s="12"/>
      <c r="G52" s="11" t="s">
        <v>17</v>
      </c>
      <c r="H52" s="12">
        <v>33000</v>
      </c>
      <c r="I52" s="13"/>
      <c r="J52" s="11"/>
      <c r="K52" s="14">
        <f t="shared" si="3"/>
        <v>900</v>
      </c>
      <c r="L52" s="15">
        <v>10.7</v>
      </c>
      <c r="M52" s="15"/>
      <c r="N52" s="16">
        <f t="shared" si="0"/>
        <v>353100</v>
      </c>
      <c r="O52" s="17">
        <f t="shared" si="2"/>
        <v>321000</v>
      </c>
      <c r="P52" s="18">
        <f t="shared" si="1"/>
        <v>320100</v>
      </c>
    </row>
    <row r="53" spans="1:16" x14ac:dyDescent="0.3">
      <c r="A53" s="7">
        <v>45303</v>
      </c>
      <c r="B53" s="8" t="s">
        <v>16</v>
      </c>
      <c r="C53" s="9">
        <v>9.7880000000000003</v>
      </c>
      <c r="D53" s="9">
        <v>10.698</v>
      </c>
      <c r="E53" s="10">
        <v>47000</v>
      </c>
      <c r="F53" s="10">
        <v>33000</v>
      </c>
      <c r="G53" s="11" t="s">
        <v>17</v>
      </c>
      <c r="H53" s="12"/>
      <c r="I53" s="13">
        <v>17000</v>
      </c>
      <c r="J53" s="11"/>
      <c r="K53" s="14">
        <f t="shared" si="3"/>
        <v>3588.5454545454413</v>
      </c>
      <c r="L53" s="15"/>
      <c r="M53" s="15">
        <v>12</v>
      </c>
      <c r="N53" s="16">
        <f t="shared" si="0"/>
        <v>204000</v>
      </c>
      <c r="O53" s="17">
        <f t="shared" si="2"/>
        <v>185454.54545454544</v>
      </c>
      <c r="P53" s="18">
        <f t="shared" si="1"/>
        <v>181866</v>
      </c>
    </row>
    <row r="54" spans="1:16" x14ac:dyDescent="0.3">
      <c r="A54" s="7">
        <v>45303</v>
      </c>
      <c r="B54" s="8" t="s">
        <v>16</v>
      </c>
      <c r="C54" s="9">
        <v>9.7880000000000003</v>
      </c>
      <c r="D54" s="9">
        <v>10.698</v>
      </c>
      <c r="E54" s="19"/>
      <c r="F54" s="19"/>
      <c r="G54" s="11" t="s">
        <v>32</v>
      </c>
      <c r="H54" s="12">
        <v>23000</v>
      </c>
      <c r="I54" s="13">
        <v>8000</v>
      </c>
      <c r="J54" s="11"/>
      <c r="K54" s="14">
        <f t="shared" si="3"/>
        <v>5292</v>
      </c>
      <c r="L54" s="15">
        <v>10.8</v>
      </c>
      <c r="M54" s="15">
        <v>12.4</v>
      </c>
      <c r="N54" s="16">
        <f t="shared" si="0"/>
        <v>347600</v>
      </c>
      <c r="O54" s="17">
        <f t="shared" si="2"/>
        <v>316000</v>
      </c>
      <c r="P54" s="18">
        <f t="shared" si="1"/>
        <v>310708</v>
      </c>
    </row>
    <row r="55" spans="1:16" x14ac:dyDescent="0.3">
      <c r="A55" s="7">
        <v>45303</v>
      </c>
      <c r="B55" s="8" t="s">
        <v>16</v>
      </c>
      <c r="C55" s="9">
        <v>9.7880000000000003</v>
      </c>
      <c r="D55" s="9">
        <v>10.698</v>
      </c>
      <c r="E55" s="19"/>
      <c r="F55" s="19"/>
      <c r="G55" s="11" t="s">
        <v>21</v>
      </c>
      <c r="H55" s="12">
        <v>20000</v>
      </c>
      <c r="I55" s="13">
        <v>2000</v>
      </c>
      <c r="J55" s="11"/>
      <c r="K55" s="14">
        <f t="shared" si="3"/>
        <v>40007.636363636353</v>
      </c>
      <c r="L55" s="15">
        <v>12.74</v>
      </c>
      <c r="M55" s="15">
        <v>14.04</v>
      </c>
      <c r="N55" s="16">
        <f t="shared" si="0"/>
        <v>282880</v>
      </c>
      <c r="O55" s="17">
        <f t="shared" si="2"/>
        <v>257163.63636363635</v>
      </c>
      <c r="P55" s="18">
        <f t="shared" si="1"/>
        <v>217156</v>
      </c>
    </row>
    <row r="56" spans="1:16" hidden="1" x14ac:dyDescent="0.3">
      <c r="A56" s="7">
        <v>45303</v>
      </c>
      <c r="B56" s="8" t="s">
        <v>16</v>
      </c>
      <c r="C56" s="9">
        <v>9.7880000000000003</v>
      </c>
      <c r="D56" s="9">
        <v>10.698</v>
      </c>
      <c r="E56" s="21"/>
      <c r="F56" s="21"/>
      <c r="G56" s="11" t="s">
        <v>22</v>
      </c>
      <c r="H56" s="12">
        <v>4000</v>
      </c>
      <c r="I56" s="13">
        <v>6000</v>
      </c>
      <c r="J56" s="11"/>
      <c r="K56" s="14">
        <f t="shared" si="3"/>
        <v>-103340</v>
      </c>
      <c r="L56" s="15"/>
      <c r="M56" s="15"/>
      <c r="N56" s="16">
        <f t="shared" si="0"/>
        <v>0</v>
      </c>
      <c r="O56" s="17">
        <f t="shared" si="2"/>
        <v>0</v>
      </c>
      <c r="P56" s="18">
        <f t="shared" si="1"/>
        <v>103340</v>
      </c>
    </row>
    <row r="57" spans="1:16" x14ac:dyDescent="0.3">
      <c r="A57" s="7">
        <v>45304</v>
      </c>
      <c r="B57" s="28" t="s">
        <v>19</v>
      </c>
      <c r="C57" s="9">
        <v>9.6999999999999993</v>
      </c>
      <c r="D57" s="9">
        <v>10.698</v>
      </c>
      <c r="E57" s="12">
        <v>2000</v>
      </c>
      <c r="F57" s="12">
        <v>3000</v>
      </c>
      <c r="G57" s="20" t="s">
        <v>18</v>
      </c>
      <c r="H57" s="12">
        <v>2000</v>
      </c>
      <c r="I57" s="13">
        <v>3000</v>
      </c>
      <c r="J57" s="11"/>
      <c r="K57" s="14">
        <f t="shared" si="3"/>
        <v>2051.4545454545441</v>
      </c>
      <c r="L57" s="15">
        <v>10.7</v>
      </c>
      <c r="M57" s="15">
        <v>12.5</v>
      </c>
      <c r="N57" s="16">
        <f t="shared" si="0"/>
        <v>58900</v>
      </c>
      <c r="O57" s="17">
        <f>N57/1.1</f>
        <v>53545.454545454544</v>
      </c>
      <c r="P57" s="18">
        <f t="shared" si="1"/>
        <v>51494</v>
      </c>
    </row>
    <row r="58" spans="1:16" x14ac:dyDescent="0.3">
      <c r="A58" s="7">
        <v>45304</v>
      </c>
      <c r="B58" s="8" t="s">
        <v>19</v>
      </c>
      <c r="C58" s="9">
        <v>9.6999999999999993</v>
      </c>
      <c r="D58" s="9">
        <v>10.698</v>
      </c>
      <c r="E58" s="12"/>
      <c r="F58" s="12">
        <v>3000</v>
      </c>
      <c r="G58" s="11" t="s">
        <v>17</v>
      </c>
      <c r="H58" s="12"/>
      <c r="I58" s="13">
        <v>3000</v>
      </c>
      <c r="J58" s="11"/>
      <c r="K58" s="14">
        <f t="shared" si="3"/>
        <v>633.2727272727243</v>
      </c>
      <c r="L58" s="15"/>
      <c r="M58" s="15">
        <v>12</v>
      </c>
      <c r="N58" s="16">
        <f t="shared" si="0"/>
        <v>36000</v>
      </c>
      <c r="O58" s="17">
        <f t="shared" si="2"/>
        <v>32727.272727272724</v>
      </c>
      <c r="P58" s="18">
        <f t="shared" si="1"/>
        <v>32094</v>
      </c>
    </row>
    <row r="59" spans="1:16" x14ac:dyDescent="0.3">
      <c r="A59" s="7">
        <v>45306</v>
      </c>
      <c r="B59" s="8" t="s">
        <v>16</v>
      </c>
      <c r="C59" s="9">
        <v>9.7880000000000003</v>
      </c>
      <c r="D59" s="9">
        <v>10.698</v>
      </c>
      <c r="E59" s="12"/>
      <c r="F59" s="10">
        <v>12000</v>
      </c>
      <c r="G59" s="20" t="s">
        <v>18</v>
      </c>
      <c r="H59" s="12"/>
      <c r="I59" s="13">
        <v>6000</v>
      </c>
      <c r="J59" s="11"/>
      <c r="K59" s="14">
        <f t="shared" si="3"/>
        <v>2084.7272727272648</v>
      </c>
      <c r="L59" s="15"/>
      <c r="M59" s="15">
        <v>12.15</v>
      </c>
      <c r="N59" s="16">
        <f t="shared" si="0"/>
        <v>72900</v>
      </c>
      <c r="O59" s="17">
        <f t="shared" si="2"/>
        <v>66272.727272727265</v>
      </c>
      <c r="P59" s="18">
        <f t="shared" si="1"/>
        <v>64188</v>
      </c>
    </row>
    <row r="60" spans="1:16" hidden="1" x14ac:dyDescent="0.3">
      <c r="A60" s="7">
        <v>45306</v>
      </c>
      <c r="B60" s="8" t="s">
        <v>16</v>
      </c>
      <c r="C60" s="9">
        <v>9.7880000000000003</v>
      </c>
      <c r="D60" s="9">
        <v>10.698</v>
      </c>
      <c r="E60" s="12"/>
      <c r="F60" s="21"/>
      <c r="G60" s="11" t="s">
        <v>22</v>
      </c>
      <c r="H60" s="12"/>
      <c r="I60" s="13">
        <v>6000</v>
      </c>
      <c r="J60" s="11"/>
      <c r="K60" s="14">
        <f t="shared" si="3"/>
        <v>-64188</v>
      </c>
      <c r="L60" s="15"/>
      <c r="M60" s="15"/>
      <c r="N60" s="16">
        <f t="shared" si="0"/>
        <v>0</v>
      </c>
      <c r="O60" s="17">
        <f t="shared" si="2"/>
        <v>0</v>
      </c>
      <c r="P60" s="18">
        <f t="shared" si="1"/>
        <v>64188</v>
      </c>
    </row>
    <row r="61" spans="1:16" x14ac:dyDescent="0.3">
      <c r="A61" s="7">
        <v>45307</v>
      </c>
      <c r="B61" s="8" t="s">
        <v>16</v>
      </c>
      <c r="C61" s="9">
        <v>9.7880000000000003</v>
      </c>
      <c r="D61" s="9">
        <v>10.698</v>
      </c>
      <c r="E61" s="10">
        <v>8000</v>
      </c>
      <c r="F61" s="10">
        <v>35000</v>
      </c>
      <c r="G61" s="20" t="s">
        <v>18</v>
      </c>
      <c r="H61" s="12"/>
      <c r="I61" s="13">
        <v>14000</v>
      </c>
      <c r="J61" s="11"/>
      <c r="K61" s="29">
        <f>O61-P61</f>
        <v>4864.3636363636178</v>
      </c>
      <c r="L61" s="15"/>
      <c r="M61" s="15">
        <v>12.15</v>
      </c>
      <c r="N61" s="16">
        <f t="shared" si="0"/>
        <v>170100</v>
      </c>
      <c r="O61" s="17">
        <f t="shared" si="2"/>
        <v>154636.36363636362</v>
      </c>
      <c r="P61" s="18">
        <f t="shared" si="1"/>
        <v>149772</v>
      </c>
    </row>
    <row r="62" spans="1:16" x14ac:dyDescent="0.3">
      <c r="A62" s="7">
        <v>45307</v>
      </c>
      <c r="B62" s="8" t="s">
        <v>16</v>
      </c>
      <c r="C62" s="9">
        <v>9.7880000000000003</v>
      </c>
      <c r="D62" s="9">
        <v>10.698</v>
      </c>
      <c r="E62" s="19"/>
      <c r="F62" s="19"/>
      <c r="G62" s="11" t="s">
        <v>23</v>
      </c>
      <c r="H62" s="12">
        <v>8000</v>
      </c>
      <c r="I62" s="13">
        <v>4000</v>
      </c>
      <c r="J62" s="11"/>
      <c r="K62" s="14">
        <f t="shared" si="3"/>
        <v>20140.363636363618</v>
      </c>
      <c r="L62" s="15">
        <v>12.44</v>
      </c>
      <c r="M62" s="15">
        <v>13.96</v>
      </c>
      <c r="N62" s="16">
        <f t="shared" si="0"/>
        <v>155360</v>
      </c>
      <c r="O62" s="17">
        <f>N62/1.1</f>
        <v>141236.36363636362</v>
      </c>
      <c r="P62" s="18">
        <f t="shared" si="1"/>
        <v>121096</v>
      </c>
    </row>
    <row r="63" spans="1:16" x14ac:dyDescent="0.3">
      <c r="A63" s="7">
        <v>45307</v>
      </c>
      <c r="B63" s="8" t="s">
        <v>16</v>
      </c>
      <c r="C63" s="9">
        <v>9.7880000000000003</v>
      </c>
      <c r="D63" s="9">
        <v>10.698</v>
      </c>
      <c r="E63" s="19"/>
      <c r="F63" s="19"/>
      <c r="G63" s="11" t="s">
        <v>17</v>
      </c>
      <c r="H63" s="12"/>
      <c r="I63" s="13">
        <v>8000</v>
      </c>
      <c r="J63" s="11"/>
      <c r="K63" s="14">
        <f>O63-P63</f>
        <v>1688.7272727272648</v>
      </c>
      <c r="L63" s="15"/>
      <c r="M63" s="15">
        <v>12</v>
      </c>
      <c r="N63" s="16">
        <f t="shared" si="0"/>
        <v>96000</v>
      </c>
      <c r="O63" s="17">
        <f>N63/1.1</f>
        <v>87272.727272727265</v>
      </c>
      <c r="P63" s="18">
        <f t="shared" si="1"/>
        <v>85584</v>
      </c>
    </row>
    <row r="64" spans="1:16" hidden="1" x14ac:dyDescent="0.3">
      <c r="A64" s="7">
        <v>45307</v>
      </c>
      <c r="B64" s="8" t="s">
        <v>16</v>
      </c>
      <c r="C64" s="9">
        <v>9.7880000000000003</v>
      </c>
      <c r="D64" s="9">
        <v>10.698</v>
      </c>
      <c r="E64" s="21"/>
      <c r="F64" s="21"/>
      <c r="G64" s="11" t="s">
        <v>22</v>
      </c>
      <c r="H64" s="12"/>
      <c r="I64" s="13">
        <v>9000</v>
      </c>
      <c r="J64" s="11"/>
      <c r="K64" s="14">
        <f t="shared" si="3"/>
        <v>-96282</v>
      </c>
      <c r="L64" s="15"/>
      <c r="M64" s="15"/>
      <c r="N64" s="16">
        <f t="shared" si="0"/>
        <v>0</v>
      </c>
      <c r="O64" s="17">
        <f t="shared" ref="O64:O127" si="8">N64/1.1</f>
        <v>0</v>
      </c>
      <c r="P64" s="18">
        <f t="shared" si="1"/>
        <v>96282</v>
      </c>
    </row>
    <row r="65" spans="1:16" x14ac:dyDescent="0.3">
      <c r="A65" s="7">
        <v>45307</v>
      </c>
      <c r="B65" s="28" t="s">
        <v>20</v>
      </c>
      <c r="C65" s="9">
        <f>10.5/1.1</f>
        <v>9.545454545454545</v>
      </c>
      <c r="D65" s="9"/>
      <c r="E65" s="10">
        <v>99000</v>
      </c>
      <c r="F65" s="12"/>
      <c r="G65" s="20" t="s">
        <v>17</v>
      </c>
      <c r="H65" s="12">
        <v>33000</v>
      </c>
      <c r="I65" s="13"/>
      <c r="J65" s="11"/>
      <c r="K65" s="14">
        <f t="shared" si="3"/>
        <v>900</v>
      </c>
      <c r="L65" s="15">
        <v>10.53</v>
      </c>
      <c r="M65" s="15"/>
      <c r="N65" s="16">
        <f t="shared" si="0"/>
        <v>347490</v>
      </c>
      <c r="O65" s="17">
        <f t="shared" si="8"/>
        <v>315900</v>
      </c>
      <c r="P65" s="18">
        <f t="shared" si="1"/>
        <v>315000</v>
      </c>
    </row>
    <row r="66" spans="1:16" x14ac:dyDescent="0.3">
      <c r="A66" s="7">
        <v>45307</v>
      </c>
      <c r="B66" s="28" t="s">
        <v>20</v>
      </c>
      <c r="C66" s="9">
        <f t="shared" ref="C66:C68" si="9">10.5/1.1</f>
        <v>9.545454545454545</v>
      </c>
      <c r="D66" s="9"/>
      <c r="E66" s="19"/>
      <c r="F66" s="12"/>
      <c r="G66" s="11" t="s">
        <v>17</v>
      </c>
      <c r="H66" s="13">
        <v>33000</v>
      </c>
      <c r="I66" s="13"/>
      <c r="J66" s="11"/>
      <c r="K66" s="14">
        <f t="shared" si="3"/>
        <v>900</v>
      </c>
      <c r="L66" s="15">
        <v>10.53</v>
      </c>
      <c r="M66" s="15"/>
      <c r="N66" s="16">
        <f t="shared" ref="N66:N129" si="10">(H66*L66)+(I66*M66)</f>
        <v>347490</v>
      </c>
      <c r="O66" s="17">
        <f t="shared" si="8"/>
        <v>315900</v>
      </c>
      <c r="P66" s="18">
        <f t="shared" ref="P66:P129" si="11">(C66*H66)+(I66*D66)</f>
        <v>315000</v>
      </c>
    </row>
    <row r="67" spans="1:16" hidden="1" x14ac:dyDescent="0.3">
      <c r="A67" s="7">
        <v>45307</v>
      </c>
      <c r="B67" s="28" t="s">
        <v>20</v>
      </c>
      <c r="C67" s="9">
        <f t="shared" si="9"/>
        <v>9.545454545454545</v>
      </c>
      <c r="D67" s="9"/>
      <c r="E67" s="19"/>
      <c r="F67" s="12"/>
      <c r="G67" s="11" t="s">
        <v>22</v>
      </c>
      <c r="H67" s="13">
        <v>4000</v>
      </c>
      <c r="I67" s="13"/>
      <c r="J67" s="11"/>
      <c r="K67" s="14">
        <f t="shared" si="3"/>
        <v>-38181.818181818177</v>
      </c>
      <c r="L67" s="15"/>
      <c r="M67" s="15"/>
      <c r="N67" s="16">
        <f t="shared" si="10"/>
        <v>0</v>
      </c>
      <c r="O67" s="17">
        <f t="shared" si="8"/>
        <v>0</v>
      </c>
      <c r="P67" s="18">
        <f t="shared" si="11"/>
        <v>38181.818181818177</v>
      </c>
    </row>
    <row r="68" spans="1:16" x14ac:dyDescent="0.3">
      <c r="A68" s="7">
        <v>45307</v>
      </c>
      <c r="B68" s="28" t="s">
        <v>20</v>
      </c>
      <c r="C68" s="9">
        <f t="shared" si="9"/>
        <v>9.545454545454545</v>
      </c>
      <c r="D68" s="9"/>
      <c r="E68" s="21"/>
      <c r="F68" s="12"/>
      <c r="G68" s="11" t="s">
        <v>27</v>
      </c>
      <c r="H68" s="13">
        <v>29000</v>
      </c>
      <c r="I68" s="13"/>
      <c r="J68" s="11"/>
      <c r="K68" s="14">
        <f t="shared" ref="K68:K81" si="12">O68-P68</f>
        <v>40863.636363636353</v>
      </c>
      <c r="L68" s="15">
        <v>12.05</v>
      </c>
      <c r="M68" s="15"/>
      <c r="N68" s="16">
        <f t="shared" si="10"/>
        <v>349450</v>
      </c>
      <c r="O68" s="17">
        <f t="shared" si="8"/>
        <v>317681.81818181818</v>
      </c>
      <c r="P68" s="18">
        <f t="shared" si="11"/>
        <v>276818.18181818182</v>
      </c>
    </row>
    <row r="69" spans="1:16" x14ac:dyDescent="0.3">
      <c r="A69" s="7">
        <v>45307</v>
      </c>
      <c r="B69" s="28" t="s">
        <v>19</v>
      </c>
      <c r="C69" s="9"/>
      <c r="D69" s="9">
        <v>10.698</v>
      </c>
      <c r="E69" s="12"/>
      <c r="F69" s="12">
        <v>4000</v>
      </c>
      <c r="G69" s="11" t="s">
        <v>27</v>
      </c>
      <c r="H69" s="12"/>
      <c r="I69" s="13">
        <v>4000</v>
      </c>
      <c r="J69" s="11"/>
      <c r="K69" s="14">
        <f t="shared" si="12"/>
        <v>7462.5454545454486</v>
      </c>
      <c r="L69" s="15"/>
      <c r="M69" s="15">
        <v>13.82</v>
      </c>
      <c r="N69" s="16">
        <f t="shared" si="10"/>
        <v>55280</v>
      </c>
      <c r="O69" s="17">
        <f t="shared" si="8"/>
        <v>50254.545454545449</v>
      </c>
      <c r="P69" s="18">
        <f t="shared" si="11"/>
        <v>42792</v>
      </c>
    </row>
    <row r="70" spans="1:16" x14ac:dyDescent="0.3">
      <c r="A70" s="7">
        <v>45308</v>
      </c>
      <c r="B70" s="28" t="s">
        <v>20</v>
      </c>
      <c r="C70" s="9">
        <f>10.45/1.1</f>
        <v>9.4999999999999982</v>
      </c>
      <c r="D70" s="9"/>
      <c r="E70" s="10">
        <v>62000</v>
      </c>
      <c r="F70" s="12"/>
      <c r="G70" s="11" t="s">
        <v>17</v>
      </c>
      <c r="H70" s="12">
        <v>17000</v>
      </c>
      <c r="I70" s="13"/>
      <c r="J70" s="11"/>
      <c r="K70" s="29">
        <f t="shared" si="12"/>
        <v>309.09090909091174</v>
      </c>
      <c r="L70" s="15">
        <v>10.47</v>
      </c>
      <c r="M70" s="15"/>
      <c r="N70" s="16">
        <f t="shared" si="10"/>
        <v>177990</v>
      </c>
      <c r="O70" s="17">
        <f t="shared" si="8"/>
        <v>161809.09090909088</v>
      </c>
      <c r="P70" s="18">
        <f t="shared" si="11"/>
        <v>161499.99999999997</v>
      </c>
    </row>
    <row r="71" spans="1:16" hidden="1" x14ac:dyDescent="0.3">
      <c r="A71" s="7">
        <v>45308</v>
      </c>
      <c r="B71" s="28" t="s">
        <v>20</v>
      </c>
      <c r="C71" s="9">
        <f t="shared" ref="C71:C76" si="13">10.45/1.1</f>
        <v>9.4999999999999982</v>
      </c>
      <c r="D71" s="9"/>
      <c r="E71" s="19"/>
      <c r="F71" s="12"/>
      <c r="G71" s="11" t="s">
        <v>22</v>
      </c>
      <c r="H71" s="12">
        <v>12000</v>
      </c>
      <c r="I71" s="13"/>
      <c r="J71" s="11"/>
      <c r="K71" s="29">
        <f t="shared" si="12"/>
        <v>-113999.99999999999</v>
      </c>
      <c r="L71" s="15"/>
      <c r="M71" s="15"/>
      <c r="N71" s="16">
        <f t="shared" si="10"/>
        <v>0</v>
      </c>
      <c r="O71" s="17">
        <f t="shared" si="8"/>
        <v>0</v>
      </c>
      <c r="P71" s="18">
        <f t="shared" si="11"/>
        <v>113999.99999999999</v>
      </c>
    </row>
    <row r="72" spans="1:16" x14ac:dyDescent="0.3">
      <c r="A72" s="7">
        <v>45309</v>
      </c>
      <c r="B72" s="28" t="s">
        <v>20</v>
      </c>
      <c r="C72" s="9">
        <f t="shared" si="13"/>
        <v>9.4999999999999982</v>
      </c>
      <c r="D72" s="9"/>
      <c r="E72" s="21"/>
      <c r="F72" s="12"/>
      <c r="G72" s="11" t="s">
        <v>17</v>
      </c>
      <c r="H72" s="12">
        <v>33000</v>
      </c>
      <c r="I72" s="13"/>
      <c r="J72" s="11"/>
      <c r="K72" s="29">
        <f t="shared" si="12"/>
        <v>600.00000000005821</v>
      </c>
      <c r="L72" s="15">
        <v>10.47</v>
      </c>
      <c r="M72" s="15"/>
      <c r="N72" s="16">
        <f t="shared" si="10"/>
        <v>345510</v>
      </c>
      <c r="O72" s="17">
        <f t="shared" si="8"/>
        <v>314100</v>
      </c>
      <c r="P72" s="18">
        <f t="shared" si="11"/>
        <v>313499.99999999994</v>
      </c>
    </row>
    <row r="73" spans="1:16" x14ac:dyDescent="0.3">
      <c r="A73" s="7">
        <v>45309</v>
      </c>
      <c r="B73" s="28" t="s">
        <v>20</v>
      </c>
      <c r="C73" s="9">
        <f t="shared" si="13"/>
        <v>9.4999999999999982</v>
      </c>
      <c r="D73" s="9"/>
      <c r="E73" s="10">
        <v>66000</v>
      </c>
      <c r="F73" s="12"/>
      <c r="G73" s="20" t="s">
        <v>17</v>
      </c>
      <c r="H73" s="12">
        <v>33000</v>
      </c>
      <c r="I73" s="13"/>
      <c r="J73" s="11"/>
      <c r="K73" s="29">
        <f t="shared" si="12"/>
        <v>600.00000000005821</v>
      </c>
      <c r="L73" s="15">
        <v>10.47</v>
      </c>
      <c r="M73" s="15"/>
      <c r="N73" s="16">
        <f t="shared" si="10"/>
        <v>345510</v>
      </c>
      <c r="O73" s="17">
        <f t="shared" si="8"/>
        <v>314100</v>
      </c>
      <c r="P73" s="18">
        <f t="shared" si="11"/>
        <v>313499.99999999994</v>
      </c>
    </row>
    <row r="74" spans="1:16" x14ac:dyDescent="0.3">
      <c r="A74" s="7">
        <v>45309</v>
      </c>
      <c r="B74" s="28" t="s">
        <v>20</v>
      </c>
      <c r="C74" s="9">
        <f t="shared" si="13"/>
        <v>9.4999999999999982</v>
      </c>
      <c r="D74" s="9"/>
      <c r="E74" s="19"/>
      <c r="F74" s="12"/>
      <c r="G74" s="11" t="s">
        <v>30</v>
      </c>
      <c r="H74" s="12">
        <v>15000</v>
      </c>
      <c r="I74" s="13"/>
      <c r="J74" s="11"/>
      <c r="K74" s="29">
        <f>O74-P74</f>
        <v>25909.090909090912</v>
      </c>
      <c r="L74" s="15">
        <v>12.35</v>
      </c>
      <c r="M74" s="15"/>
      <c r="N74" s="16">
        <f t="shared" si="10"/>
        <v>185250</v>
      </c>
      <c r="O74" s="17">
        <f t="shared" si="8"/>
        <v>168409.09090909088</v>
      </c>
      <c r="P74" s="18">
        <f t="shared" si="11"/>
        <v>142499.99999999997</v>
      </c>
    </row>
    <row r="75" spans="1:16" hidden="1" x14ac:dyDescent="0.3">
      <c r="A75" s="7">
        <v>45309</v>
      </c>
      <c r="B75" s="28" t="s">
        <v>20</v>
      </c>
      <c r="C75" s="9">
        <f t="shared" si="13"/>
        <v>9.4999999999999982</v>
      </c>
      <c r="D75" s="9"/>
      <c r="E75" s="19"/>
      <c r="F75" s="12"/>
      <c r="G75" s="20" t="s">
        <v>22</v>
      </c>
      <c r="H75" s="12">
        <v>2000</v>
      </c>
      <c r="I75" s="13"/>
      <c r="J75" s="11"/>
      <c r="K75" s="29">
        <f>O75-P75</f>
        <v>-18999.999999999996</v>
      </c>
      <c r="L75" s="15"/>
      <c r="M75" s="15"/>
      <c r="N75" s="16">
        <f t="shared" si="10"/>
        <v>0</v>
      </c>
      <c r="O75" s="17">
        <f t="shared" si="8"/>
        <v>0</v>
      </c>
      <c r="P75" s="18">
        <f t="shared" si="11"/>
        <v>18999.999999999996</v>
      </c>
    </row>
    <row r="76" spans="1:16" x14ac:dyDescent="0.3">
      <c r="A76" s="7">
        <v>45309</v>
      </c>
      <c r="B76" s="28" t="s">
        <v>20</v>
      </c>
      <c r="C76" s="9">
        <f t="shared" si="13"/>
        <v>9.4999999999999982</v>
      </c>
      <c r="D76" s="9"/>
      <c r="E76" s="21"/>
      <c r="F76" s="12"/>
      <c r="G76" s="20" t="s">
        <v>25</v>
      </c>
      <c r="H76" s="12">
        <v>16000</v>
      </c>
      <c r="I76" s="13"/>
      <c r="J76" s="11"/>
      <c r="K76" s="14">
        <f t="shared" si="12"/>
        <v>30836.363636363647</v>
      </c>
      <c r="L76" s="15">
        <v>12.57</v>
      </c>
      <c r="M76" s="15"/>
      <c r="N76" s="16">
        <f t="shared" si="10"/>
        <v>201120</v>
      </c>
      <c r="O76" s="17">
        <f t="shared" si="8"/>
        <v>182836.36363636362</v>
      </c>
      <c r="P76" s="18">
        <f t="shared" si="11"/>
        <v>151999.99999999997</v>
      </c>
    </row>
    <row r="77" spans="1:16" x14ac:dyDescent="0.3">
      <c r="A77" s="7">
        <v>45309</v>
      </c>
      <c r="B77" s="8" t="s">
        <v>19</v>
      </c>
      <c r="C77" s="25"/>
      <c r="D77" s="9">
        <v>10.698</v>
      </c>
      <c r="E77" s="12"/>
      <c r="F77" s="12">
        <v>2000</v>
      </c>
      <c r="G77" s="20" t="s">
        <v>25</v>
      </c>
      <c r="H77" s="12"/>
      <c r="I77" s="13">
        <v>2000</v>
      </c>
      <c r="J77" s="11"/>
      <c r="K77" s="29">
        <f t="shared" si="12"/>
        <v>4313.0909090909081</v>
      </c>
      <c r="L77" s="15"/>
      <c r="M77" s="15">
        <v>14.14</v>
      </c>
      <c r="N77" s="16">
        <f t="shared" si="10"/>
        <v>28280</v>
      </c>
      <c r="O77" s="17">
        <f t="shared" si="8"/>
        <v>25709.090909090908</v>
      </c>
      <c r="P77" s="18">
        <f t="shared" si="11"/>
        <v>21396</v>
      </c>
    </row>
    <row r="78" spans="1:16" x14ac:dyDescent="0.3">
      <c r="A78" s="7">
        <v>45309</v>
      </c>
      <c r="B78" s="8" t="s">
        <v>19</v>
      </c>
      <c r="C78" s="25"/>
      <c r="D78" s="9">
        <v>10.698</v>
      </c>
      <c r="E78" s="12"/>
      <c r="F78" s="12">
        <v>8000</v>
      </c>
      <c r="G78" s="20" t="s">
        <v>17</v>
      </c>
      <c r="H78" s="12"/>
      <c r="I78" s="13">
        <v>8000</v>
      </c>
      <c r="J78" s="11"/>
      <c r="K78" s="29">
        <f t="shared" si="12"/>
        <v>1688.7272727272648</v>
      </c>
      <c r="L78" s="15"/>
      <c r="M78" s="15">
        <v>12</v>
      </c>
      <c r="N78" s="16">
        <f t="shared" si="10"/>
        <v>96000</v>
      </c>
      <c r="O78" s="17">
        <f t="shared" si="8"/>
        <v>87272.727272727265</v>
      </c>
      <c r="P78" s="18">
        <f t="shared" si="11"/>
        <v>85584</v>
      </c>
    </row>
    <row r="79" spans="1:16" x14ac:dyDescent="0.3">
      <c r="A79" s="7">
        <v>45310</v>
      </c>
      <c r="B79" s="8" t="s">
        <v>16</v>
      </c>
      <c r="C79" s="25">
        <v>9.5670000000000002</v>
      </c>
      <c r="D79" s="22">
        <v>10.726000000000001</v>
      </c>
      <c r="E79" s="10">
        <v>22000</v>
      </c>
      <c r="F79" s="10">
        <v>22000</v>
      </c>
      <c r="G79" s="20" t="s">
        <v>31</v>
      </c>
      <c r="H79" s="12">
        <v>22000</v>
      </c>
      <c r="I79" s="13"/>
      <c r="J79" s="11"/>
      <c r="K79" s="29">
        <f t="shared" si="12"/>
        <v>32925.999999999971</v>
      </c>
      <c r="L79" s="15">
        <v>12.17</v>
      </c>
      <c r="M79" s="15"/>
      <c r="N79" s="16">
        <f t="shared" si="10"/>
        <v>267740</v>
      </c>
      <c r="O79" s="17">
        <f t="shared" si="8"/>
        <v>243399.99999999997</v>
      </c>
      <c r="P79" s="18">
        <f t="shared" si="11"/>
        <v>210474</v>
      </c>
    </row>
    <row r="80" spans="1:16" hidden="1" x14ac:dyDescent="0.3">
      <c r="A80" s="7">
        <v>45310</v>
      </c>
      <c r="B80" s="8" t="s">
        <v>16</v>
      </c>
      <c r="C80" s="25">
        <v>9.5670000000000002</v>
      </c>
      <c r="D80" s="22">
        <v>10.726000000000001</v>
      </c>
      <c r="E80" s="19"/>
      <c r="F80" s="19"/>
      <c r="G80" s="20" t="s">
        <v>22</v>
      </c>
      <c r="H80" s="12"/>
      <c r="I80" s="13">
        <v>10000</v>
      </c>
      <c r="J80" s="11"/>
      <c r="K80" s="29">
        <f t="shared" si="12"/>
        <v>-107260.00000000001</v>
      </c>
      <c r="L80" s="15"/>
      <c r="M80" s="15"/>
      <c r="N80" s="16">
        <f t="shared" si="10"/>
        <v>0</v>
      </c>
      <c r="O80" s="17">
        <f t="shared" si="8"/>
        <v>0</v>
      </c>
      <c r="P80" s="18">
        <f t="shared" si="11"/>
        <v>107260.00000000001</v>
      </c>
    </row>
    <row r="81" spans="1:16" x14ac:dyDescent="0.3">
      <c r="A81" s="7">
        <v>45310</v>
      </c>
      <c r="B81" s="8" t="s">
        <v>16</v>
      </c>
      <c r="C81" s="25">
        <v>9.5670000000000002</v>
      </c>
      <c r="D81" s="22">
        <v>10.726000000000001</v>
      </c>
      <c r="E81" s="21"/>
      <c r="F81" s="21"/>
      <c r="G81" s="20" t="s">
        <v>18</v>
      </c>
      <c r="H81" s="12"/>
      <c r="I81" s="13">
        <v>12000</v>
      </c>
      <c r="J81" s="11"/>
      <c r="K81" s="29">
        <f t="shared" si="12"/>
        <v>3833.454545454515</v>
      </c>
      <c r="L81" s="15"/>
      <c r="M81" s="15">
        <v>12.15</v>
      </c>
      <c r="N81" s="16">
        <f t="shared" si="10"/>
        <v>145800</v>
      </c>
      <c r="O81" s="17">
        <f t="shared" si="8"/>
        <v>132545.45454545453</v>
      </c>
      <c r="P81" s="18">
        <f t="shared" si="11"/>
        <v>128712.00000000001</v>
      </c>
    </row>
    <row r="82" spans="1:16" x14ac:dyDescent="0.3">
      <c r="A82" s="7">
        <v>45310</v>
      </c>
      <c r="B82" s="28" t="s">
        <v>20</v>
      </c>
      <c r="C82" s="9">
        <f t="shared" ref="C82:C83" si="14">10.45/1.1</f>
        <v>9.4999999999999982</v>
      </c>
      <c r="D82" s="9"/>
      <c r="E82" s="10">
        <v>50000</v>
      </c>
      <c r="F82" s="12"/>
      <c r="G82" s="20" t="s">
        <v>17</v>
      </c>
      <c r="H82" s="12">
        <v>33000</v>
      </c>
      <c r="I82" s="13"/>
      <c r="J82" s="11"/>
      <c r="K82" s="29">
        <f>O82-P82</f>
        <v>600.00000000005821</v>
      </c>
      <c r="L82" s="15">
        <v>10.47</v>
      </c>
      <c r="M82" s="15"/>
      <c r="N82" s="16">
        <f t="shared" si="10"/>
        <v>345510</v>
      </c>
      <c r="O82" s="17">
        <f t="shared" si="8"/>
        <v>314100</v>
      </c>
      <c r="P82" s="18">
        <f t="shared" si="11"/>
        <v>313499.99999999994</v>
      </c>
    </row>
    <row r="83" spans="1:16" x14ac:dyDescent="0.3">
      <c r="A83" s="7">
        <v>45310</v>
      </c>
      <c r="B83" s="28" t="s">
        <v>20</v>
      </c>
      <c r="C83" s="9">
        <f t="shared" si="14"/>
        <v>9.4999999999999982</v>
      </c>
      <c r="D83" s="9"/>
      <c r="E83" s="21"/>
      <c r="F83" s="12"/>
      <c r="G83" s="20" t="s">
        <v>17</v>
      </c>
      <c r="H83" s="12">
        <v>17000</v>
      </c>
      <c r="I83" s="13"/>
      <c r="J83" s="11"/>
      <c r="K83" s="29">
        <f t="shared" ref="K83:K133" si="15">O83-P83</f>
        <v>309.09090909091174</v>
      </c>
      <c r="L83" s="15">
        <v>10.47</v>
      </c>
      <c r="M83" s="15"/>
      <c r="N83" s="16">
        <f t="shared" si="10"/>
        <v>177990</v>
      </c>
      <c r="O83" s="17">
        <f t="shared" si="8"/>
        <v>161809.09090909088</v>
      </c>
      <c r="P83" s="18">
        <f t="shared" si="11"/>
        <v>161499.99999999997</v>
      </c>
    </row>
    <row r="84" spans="1:16" x14ac:dyDescent="0.3">
      <c r="A84" s="7">
        <v>45311</v>
      </c>
      <c r="B84" s="8" t="s">
        <v>16</v>
      </c>
      <c r="C84" s="25">
        <v>9.5670000000000002</v>
      </c>
      <c r="D84" s="22">
        <v>10.726000000000001</v>
      </c>
      <c r="E84" s="12">
        <v>29000</v>
      </c>
      <c r="F84" s="12">
        <v>2000</v>
      </c>
      <c r="G84" s="20" t="s">
        <v>32</v>
      </c>
      <c r="H84" s="12">
        <v>29000</v>
      </c>
      <c r="I84" s="13">
        <v>2000</v>
      </c>
      <c r="J84" s="11"/>
      <c r="K84" s="29">
        <f t="shared" si="15"/>
        <v>2577.7272727272357</v>
      </c>
      <c r="L84" s="15">
        <v>10.58</v>
      </c>
      <c r="M84" s="15">
        <v>12.4</v>
      </c>
      <c r="N84" s="16">
        <f t="shared" si="10"/>
        <v>331620</v>
      </c>
      <c r="O84" s="17">
        <f t="shared" si="8"/>
        <v>301472.72727272724</v>
      </c>
      <c r="P84" s="18">
        <f t="shared" si="11"/>
        <v>298895</v>
      </c>
    </row>
    <row r="85" spans="1:16" x14ac:dyDescent="0.3">
      <c r="A85" s="7">
        <v>45313</v>
      </c>
      <c r="B85" s="8" t="s">
        <v>16</v>
      </c>
      <c r="C85" s="25">
        <v>9.5670000000000002</v>
      </c>
      <c r="D85" s="22">
        <v>10.726000000000001</v>
      </c>
      <c r="E85" s="10">
        <v>59000</v>
      </c>
      <c r="F85" s="10">
        <v>7000</v>
      </c>
      <c r="G85" s="20" t="s">
        <v>17</v>
      </c>
      <c r="H85" s="12">
        <v>30000</v>
      </c>
      <c r="I85" s="13">
        <v>3000</v>
      </c>
      <c r="J85" s="11"/>
      <c r="K85" s="29">
        <f t="shared" si="15"/>
        <v>993.81818181817653</v>
      </c>
      <c r="L85" s="15">
        <v>10.55</v>
      </c>
      <c r="M85" s="15">
        <v>11.9</v>
      </c>
      <c r="N85" s="16">
        <f t="shared" si="10"/>
        <v>352200</v>
      </c>
      <c r="O85" s="17">
        <f t="shared" si="8"/>
        <v>320181.81818181818</v>
      </c>
      <c r="P85" s="18">
        <f t="shared" si="11"/>
        <v>319188</v>
      </c>
    </row>
    <row r="86" spans="1:16" x14ac:dyDescent="0.3">
      <c r="A86" s="7">
        <v>45313</v>
      </c>
      <c r="B86" s="8" t="s">
        <v>16</v>
      </c>
      <c r="C86" s="25">
        <v>9.5670000000000002</v>
      </c>
      <c r="D86" s="22">
        <v>10.726000000000001</v>
      </c>
      <c r="E86" s="21"/>
      <c r="F86" s="21"/>
      <c r="G86" s="20" t="s">
        <v>26</v>
      </c>
      <c r="H86" s="12">
        <v>29000</v>
      </c>
      <c r="I86" s="13">
        <v>4000</v>
      </c>
      <c r="J86" s="11"/>
      <c r="K86" s="29">
        <f t="shared" si="15"/>
        <v>62325.727272727236</v>
      </c>
      <c r="L86" s="15">
        <v>12.58</v>
      </c>
      <c r="M86" s="15">
        <v>14.03</v>
      </c>
      <c r="N86" s="16">
        <f t="shared" si="10"/>
        <v>420940</v>
      </c>
      <c r="O86" s="17">
        <f t="shared" si="8"/>
        <v>382672.72727272724</v>
      </c>
      <c r="P86" s="18">
        <f t="shared" si="11"/>
        <v>320347</v>
      </c>
    </row>
    <row r="87" spans="1:16" x14ac:dyDescent="0.3">
      <c r="A87" s="7">
        <v>45313</v>
      </c>
      <c r="B87" s="8" t="s">
        <v>19</v>
      </c>
      <c r="C87" s="9">
        <f t="shared" ref="C87" si="16">10.45/1.1</f>
        <v>9.4999999999999982</v>
      </c>
      <c r="D87" s="22">
        <v>10.726000000000001</v>
      </c>
      <c r="E87" s="12">
        <v>8000</v>
      </c>
      <c r="F87" s="12">
        <v>4000</v>
      </c>
      <c r="G87" s="20" t="s">
        <v>23</v>
      </c>
      <c r="H87" s="12">
        <v>8000</v>
      </c>
      <c r="I87" s="13">
        <v>4000</v>
      </c>
      <c r="J87" s="11"/>
      <c r="K87" s="29">
        <f t="shared" si="15"/>
        <v>22332.363636363632</v>
      </c>
      <c r="L87" s="15">
        <v>12.44</v>
      </c>
      <c r="M87" s="15">
        <v>13.96</v>
      </c>
      <c r="N87" s="16">
        <f t="shared" si="10"/>
        <v>155360</v>
      </c>
      <c r="O87" s="17">
        <f t="shared" si="8"/>
        <v>141236.36363636362</v>
      </c>
      <c r="P87" s="18">
        <f t="shared" si="11"/>
        <v>118903.99999999999</v>
      </c>
    </row>
    <row r="88" spans="1:16" x14ac:dyDescent="0.3">
      <c r="A88" s="7">
        <v>45313</v>
      </c>
      <c r="B88" s="8" t="s">
        <v>20</v>
      </c>
      <c r="C88" s="25">
        <f>10.4/1.1</f>
        <v>9.4545454545454533</v>
      </c>
      <c r="D88" s="30"/>
      <c r="E88" s="12">
        <v>33000</v>
      </c>
      <c r="F88" s="12"/>
      <c r="G88" s="20" t="s">
        <v>17</v>
      </c>
      <c r="H88" s="12">
        <v>33000</v>
      </c>
      <c r="I88" s="13"/>
      <c r="J88" s="11"/>
      <c r="K88" s="29">
        <f t="shared" si="15"/>
        <v>900.00000000005821</v>
      </c>
      <c r="L88" s="15">
        <v>10.43</v>
      </c>
      <c r="M88" s="15"/>
      <c r="N88" s="16">
        <f t="shared" si="10"/>
        <v>344190</v>
      </c>
      <c r="O88" s="17">
        <f t="shared" si="8"/>
        <v>312900</v>
      </c>
      <c r="P88" s="18">
        <f t="shared" si="11"/>
        <v>311999.99999999994</v>
      </c>
    </row>
    <row r="89" spans="1:16" x14ac:dyDescent="0.3">
      <c r="A89" s="7">
        <v>45314</v>
      </c>
      <c r="B89" s="8" t="s">
        <v>16</v>
      </c>
      <c r="C89" s="25">
        <v>9.5670000000000002</v>
      </c>
      <c r="D89" s="22">
        <v>10.726000000000001</v>
      </c>
      <c r="E89" s="10">
        <v>27000</v>
      </c>
      <c r="F89" s="10">
        <v>6000</v>
      </c>
      <c r="G89" s="11" t="s">
        <v>28</v>
      </c>
      <c r="H89" s="12">
        <v>12000</v>
      </c>
      <c r="I89" s="13">
        <v>4000</v>
      </c>
      <c r="J89" s="11"/>
      <c r="K89" s="14">
        <f t="shared" si="15"/>
        <v>28073.818181818177</v>
      </c>
      <c r="L89" s="15">
        <v>12.38</v>
      </c>
      <c r="M89" s="15">
        <v>13.95</v>
      </c>
      <c r="N89" s="16">
        <f t="shared" si="10"/>
        <v>204360</v>
      </c>
      <c r="O89" s="17">
        <f t="shared" si="8"/>
        <v>185781.81818181818</v>
      </c>
      <c r="P89" s="18">
        <f t="shared" si="11"/>
        <v>157708</v>
      </c>
    </row>
    <row r="90" spans="1:16" x14ac:dyDescent="0.3">
      <c r="A90" s="7">
        <v>45314</v>
      </c>
      <c r="B90" s="8" t="s">
        <v>16</v>
      </c>
      <c r="C90" s="25">
        <v>9.5670000000000002</v>
      </c>
      <c r="D90" s="22">
        <v>10.726000000000001</v>
      </c>
      <c r="E90" s="21"/>
      <c r="F90" s="21"/>
      <c r="G90" s="11" t="s">
        <v>29</v>
      </c>
      <c r="H90" s="12">
        <v>15000</v>
      </c>
      <c r="I90" s="13">
        <v>2000</v>
      </c>
      <c r="J90" s="11"/>
      <c r="K90" s="29">
        <f t="shared" si="15"/>
        <v>28570.272727272706</v>
      </c>
      <c r="L90" s="15">
        <v>12.34</v>
      </c>
      <c r="M90" s="15">
        <v>13.89</v>
      </c>
      <c r="N90" s="16">
        <f t="shared" si="10"/>
        <v>212880</v>
      </c>
      <c r="O90" s="17">
        <f t="shared" si="8"/>
        <v>193527.27272727271</v>
      </c>
      <c r="P90" s="18">
        <f t="shared" si="11"/>
        <v>164957</v>
      </c>
    </row>
    <row r="91" spans="1:16" x14ac:dyDescent="0.3">
      <c r="A91" s="7">
        <v>45314</v>
      </c>
      <c r="B91" s="8" t="s">
        <v>20</v>
      </c>
      <c r="C91" s="25">
        <f>10.4/1.1</f>
        <v>9.4545454545454533</v>
      </c>
      <c r="D91" s="30"/>
      <c r="E91" s="10">
        <v>65000</v>
      </c>
      <c r="F91" s="12"/>
      <c r="G91" s="20" t="s">
        <v>17</v>
      </c>
      <c r="H91" s="12">
        <v>33000</v>
      </c>
      <c r="I91" s="13"/>
      <c r="J91" s="11"/>
      <c r="K91" s="29">
        <f t="shared" si="15"/>
        <v>900.00000000005821</v>
      </c>
      <c r="L91" s="15">
        <v>10.43</v>
      </c>
      <c r="M91" s="15"/>
      <c r="N91" s="16">
        <f t="shared" si="10"/>
        <v>344190</v>
      </c>
      <c r="O91" s="17">
        <f t="shared" si="8"/>
        <v>312900</v>
      </c>
      <c r="P91" s="18">
        <f t="shared" si="11"/>
        <v>311999.99999999994</v>
      </c>
    </row>
    <row r="92" spans="1:16" hidden="1" x14ac:dyDescent="0.3">
      <c r="A92" s="7">
        <v>45314</v>
      </c>
      <c r="B92" s="8" t="s">
        <v>20</v>
      </c>
      <c r="C92" s="25">
        <f t="shared" ref="C92:C98" si="17">10.4/1.1</f>
        <v>9.4545454545454533</v>
      </c>
      <c r="D92" s="30"/>
      <c r="E92" s="19"/>
      <c r="F92" s="12"/>
      <c r="G92" s="20" t="s">
        <v>22</v>
      </c>
      <c r="H92" s="12">
        <v>6000</v>
      </c>
      <c r="I92" s="13"/>
      <c r="J92" s="11"/>
      <c r="K92" s="29">
        <f t="shared" si="15"/>
        <v>-56727.272727272721</v>
      </c>
      <c r="L92" s="15"/>
      <c r="M92" s="15"/>
      <c r="N92" s="16">
        <f t="shared" si="10"/>
        <v>0</v>
      </c>
      <c r="O92" s="17">
        <f t="shared" si="8"/>
        <v>0</v>
      </c>
      <c r="P92" s="18">
        <f t="shared" si="11"/>
        <v>56727.272727272721</v>
      </c>
    </row>
    <row r="93" spans="1:16" x14ac:dyDescent="0.3">
      <c r="A93" s="7">
        <v>45314</v>
      </c>
      <c r="B93" s="8" t="s">
        <v>20</v>
      </c>
      <c r="C93" s="25">
        <f t="shared" si="17"/>
        <v>9.4545454545454533</v>
      </c>
      <c r="D93" s="30"/>
      <c r="E93" s="19"/>
      <c r="F93" s="12"/>
      <c r="G93" s="11" t="s">
        <v>30</v>
      </c>
      <c r="H93" s="12">
        <v>6000</v>
      </c>
      <c r="I93" s="13"/>
      <c r="J93" s="11"/>
      <c r="K93" s="29">
        <f t="shared" si="15"/>
        <v>10636.363636363632</v>
      </c>
      <c r="L93" s="15">
        <v>12.35</v>
      </c>
      <c r="M93" s="15"/>
      <c r="N93" s="16">
        <f t="shared" si="10"/>
        <v>74100</v>
      </c>
      <c r="O93" s="17">
        <f t="shared" si="8"/>
        <v>67363.636363636353</v>
      </c>
      <c r="P93" s="18">
        <f t="shared" si="11"/>
        <v>56727.272727272721</v>
      </c>
    </row>
    <row r="94" spans="1:16" x14ac:dyDescent="0.3">
      <c r="A94" s="7">
        <v>45314</v>
      </c>
      <c r="B94" s="8" t="s">
        <v>20</v>
      </c>
      <c r="C94" s="25">
        <f t="shared" si="17"/>
        <v>9.4545454545454533</v>
      </c>
      <c r="D94" s="30"/>
      <c r="E94" s="21"/>
      <c r="F94" s="12"/>
      <c r="G94" s="20" t="s">
        <v>21</v>
      </c>
      <c r="H94" s="12">
        <v>20000</v>
      </c>
      <c r="I94" s="13"/>
      <c r="J94" s="11"/>
      <c r="K94" s="29">
        <f t="shared" si="15"/>
        <v>37090.909090909117</v>
      </c>
      <c r="L94" s="15">
        <v>12.44</v>
      </c>
      <c r="M94" s="15"/>
      <c r="N94" s="16">
        <f t="shared" si="10"/>
        <v>248800</v>
      </c>
      <c r="O94" s="17">
        <f t="shared" si="8"/>
        <v>226181.81818181818</v>
      </c>
      <c r="P94" s="18">
        <f t="shared" si="11"/>
        <v>189090.90909090906</v>
      </c>
    </row>
    <row r="95" spans="1:16" x14ac:dyDescent="0.3">
      <c r="A95" s="7">
        <v>45314</v>
      </c>
      <c r="B95" s="8" t="s">
        <v>19</v>
      </c>
      <c r="C95" s="25"/>
      <c r="D95" s="22">
        <v>10.726000000000001</v>
      </c>
      <c r="E95" s="12"/>
      <c r="F95" s="12">
        <v>2000</v>
      </c>
      <c r="G95" s="20" t="s">
        <v>21</v>
      </c>
      <c r="H95" s="12"/>
      <c r="I95" s="13">
        <v>2000</v>
      </c>
      <c r="J95" s="11"/>
      <c r="K95" s="29">
        <f t="shared" si="15"/>
        <v>4075.2727272727243</v>
      </c>
      <c r="L95" s="15"/>
      <c r="M95" s="15">
        <v>14.04</v>
      </c>
      <c r="N95" s="16">
        <f t="shared" si="10"/>
        <v>28080</v>
      </c>
      <c r="O95" s="17">
        <f t="shared" si="8"/>
        <v>25527.272727272724</v>
      </c>
      <c r="P95" s="18">
        <f t="shared" si="11"/>
        <v>21452</v>
      </c>
    </row>
    <row r="96" spans="1:16" x14ac:dyDescent="0.3">
      <c r="A96" s="7">
        <v>45315</v>
      </c>
      <c r="B96" s="8" t="s">
        <v>20</v>
      </c>
      <c r="C96" s="25">
        <f t="shared" si="17"/>
        <v>9.4545454545454533</v>
      </c>
      <c r="D96" s="30">
        <f>11.5/1.1</f>
        <v>10.454545454545453</v>
      </c>
      <c r="E96" s="10">
        <v>66000</v>
      </c>
      <c r="F96" s="10">
        <v>33000</v>
      </c>
      <c r="G96" s="20" t="s">
        <v>17</v>
      </c>
      <c r="H96" s="12">
        <v>33000</v>
      </c>
      <c r="I96" s="13"/>
      <c r="J96" s="11"/>
      <c r="K96" s="29">
        <f t="shared" si="15"/>
        <v>900.00000000005821</v>
      </c>
      <c r="L96" s="15">
        <v>10.43</v>
      </c>
      <c r="M96" s="15"/>
      <c r="N96" s="16">
        <f t="shared" si="10"/>
        <v>344190</v>
      </c>
      <c r="O96" s="17">
        <f t="shared" si="8"/>
        <v>312900</v>
      </c>
      <c r="P96" s="18">
        <f t="shared" si="11"/>
        <v>311999.99999999994</v>
      </c>
    </row>
    <row r="97" spans="1:16" x14ac:dyDescent="0.3">
      <c r="A97" s="7">
        <v>45316</v>
      </c>
      <c r="B97" s="8" t="s">
        <v>20</v>
      </c>
      <c r="C97" s="25">
        <f t="shared" si="17"/>
        <v>9.4545454545454533</v>
      </c>
      <c r="D97" s="30">
        <f t="shared" ref="D97:D98" si="18">11.5/1.1</f>
        <v>10.454545454545453</v>
      </c>
      <c r="E97" s="19"/>
      <c r="F97" s="19"/>
      <c r="G97" s="20" t="s">
        <v>17</v>
      </c>
      <c r="H97" s="12"/>
      <c r="I97" s="13">
        <v>33000</v>
      </c>
      <c r="J97" s="11"/>
      <c r="K97" s="29">
        <f t="shared" si="15"/>
        <v>4500.0000000000582</v>
      </c>
      <c r="L97" s="15"/>
      <c r="M97" s="15">
        <v>11.65</v>
      </c>
      <c r="N97" s="16">
        <f t="shared" si="10"/>
        <v>384450</v>
      </c>
      <c r="O97" s="17">
        <f t="shared" si="8"/>
        <v>349500</v>
      </c>
      <c r="P97" s="18">
        <f t="shared" si="11"/>
        <v>344999.99999999994</v>
      </c>
    </row>
    <row r="98" spans="1:16" x14ac:dyDescent="0.3">
      <c r="A98" s="7">
        <v>45315</v>
      </c>
      <c r="B98" s="8" t="s">
        <v>20</v>
      </c>
      <c r="C98" s="25">
        <f t="shared" si="17"/>
        <v>9.4545454545454533</v>
      </c>
      <c r="D98" s="30">
        <f t="shared" si="18"/>
        <v>10.454545454545453</v>
      </c>
      <c r="E98" s="21"/>
      <c r="F98" s="21"/>
      <c r="G98" s="20" t="s">
        <v>17</v>
      </c>
      <c r="H98" s="12">
        <v>33000</v>
      </c>
      <c r="I98" s="13"/>
      <c r="J98" s="11"/>
      <c r="K98" s="29">
        <f t="shared" si="15"/>
        <v>900.00000000005821</v>
      </c>
      <c r="L98" s="15">
        <v>10.43</v>
      </c>
      <c r="M98" s="15"/>
      <c r="N98" s="16">
        <f t="shared" si="10"/>
        <v>344190</v>
      </c>
      <c r="O98" s="17">
        <f t="shared" si="8"/>
        <v>312900</v>
      </c>
      <c r="P98" s="18">
        <f t="shared" si="11"/>
        <v>311999.99999999994</v>
      </c>
    </row>
    <row r="99" spans="1:16" x14ac:dyDescent="0.3">
      <c r="A99" s="7">
        <v>45315</v>
      </c>
      <c r="B99" s="8" t="s">
        <v>19</v>
      </c>
      <c r="C99" s="25">
        <v>0</v>
      </c>
      <c r="D99" s="22">
        <v>10.726000000000001</v>
      </c>
      <c r="E99" s="12"/>
      <c r="F99" s="12">
        <v>2000</v>
      </c>
      <c r="G99" s="20" t="s">
        <v>17</v>
      </c>
      <c r="H99" s="12"/>
      <c r="I99" s="13">
        <v>2000</v>
      </c>
      <c r="J99" s="11"/>
      <c r="K99" s="29">
        <f t="shared" si="15"/>
        <v>184.36363636363603</v>
      </c>
      <c r="L99" s="15"/>
      <c r="M99" s="15">
        <v>11.9</v>
      </c>
      <c r="N99" s="16">
        <f t="shared" si="10"/>
        <v>23800</v>
      </c>
      <c r="O99" s="17">
        <f t="shared" si="8"/>
        <v>21636.363636363636</v>
      </c>
      <c r="P99" s="18">
        <f t="shared" si="11"/>
        <v>21452</v>
      </c>
    </row>
    <row r="100" spans="1:16" x14ac:dyDescent="0.3">
      <c r="A100" s="7">
        <v>45315</v>
      </c>
      <c r="B100" s="8" t="s">
        <v>16</v>
      </c>
      <c r="C100" s="25">
        <v>9.5670000000000002</v>
      </c>
      <c r="D100" s="22">
        <v>10.726000000000001</v>
      </c>
      <c r="E100" s="12"/>
      <c r="F100" s="12">
        <v>12000</v>
      </c>
      <c r="G100" s="20" t="s">
        <v>18</v>
      </c>
      <c r="H100" s="12"/>
      <c r="I100" s="13">
        <v>12000</v>
      </c>
      <c r="J100" s="11"/>
      <c r="K100" s="29">
        <f t="shared" si="15"/>
        <v>3833.454545454515</v>
      </c>
      <c r="L100" s="15"/>
      <c r="M100" s="15">
        <v>12.15</v>
      </c>
      <c r="N100" s="16">
        <f t="shared" si="10"/>
        <v>145800</v>
      </c>
      <c r="O100" s="17">
        <f t="shared" si="8"/>
        <v>132545.45454545453</v>
      </c>
      <c r="P100" s="18">
        <f t="shared" si="11"/>
        <v>128712.00000000001</v>
      </c>
    </row>
    <row r="101" spans="1:16" x14ac:dyDescent="0.3">
      <c r="A101" s="7">
        <v>45316</v>
      </c>
      <c r="B101" s="8" t="s">
        <v>20</v>
      </c>
      <c r="C101" s="25">
        <f t="shared" ref="C101:C102" si="19">10.4/1.1</f>
        <v>9.4545454545454533</v>
      </c>
      <c r="D101" s="30">
        <f t="shared" ref="D101:D102" si="20">11.5/1.1</f>
        <v>10.454545454545453</v>
      </c>
      <c r="E101" s="10">
        <v>50000</v>
      </c>
      <c r="F101" s="12"/>
      <c r="G101" s="20" t="s">
        <v>27</v>
      </c>
      <c r="H101" s="12">
        <v>17000</v>
      </c>
      <c r="I101" s="13"/>
      <c r="J101" s="11"/>
      <c r="K101" s="29">
        <f t="shared" si="15"/>
        <v>25500</v>
      </c>
      <c r="L101" s="15">
        <v>12.05</v>
      </c>
      <c r="M101" s="15"/>
      <c r="N101" s="16">
        <f t="shared" si="10"/>
        <v>204850</v>
      </c>
      <c r="O101" s="17">
        <f t="shared" si="8"/>
        <v>186227.27272727271</v>
      </c>
      <c r="P101" s="18">
        <f t="shared" si="11"/>
        <v>160727.27272727271</v>
      </c>
    </row>
    <row r="102" spans="1:16" x14ac:dyDescent="0.3">
      <c r="A102" s="7">
        <v>45317</v>
      </c>
      <c r="B102" s="8" t="s">
        <v>20</v>
      </c>
      <c r="C102" s="25">
        <f t="shared" si="19"/>
        <v>9.4545454545454533</v>
      </c>
      <c r="D102" s="30">
        <f t="shared" si="20"/>
        <v>10.454545454545453</v>
      </c>
      <c r="E102" s="21"/>
      <c r="F102" s="12"/>
      <c r="G102" s="20" t="s">
        <v>33</v>
      </c>
      <c r="H102" s="12">
        <v>33000</v>
      </c>
      <c r="I102" s="13"/>
      <c r="J102" s="11"/>
      <c r="K102" s="29">
        <f t="shared" si="15"/>
        <v>900.00000000005821</v>
      </c>
      <c r="L102" s="15">
        <v>10.43</v>
      </c>
      <c r="M102" s="15"/>
      <c r="N102" s="16">
        <f t="shared" si="10"/>
        <v>344190</v>
      </c>
      <c r="O102" s="17">
        <f t="shared" si="8"/>
        <v>312900</v>
      </c>
      <c r="P102" s="18">
        <f t="shared" si="11"/>
        <v>311999.99999999994</v>
      </c>
    </row>
    <row r="103" spans="1:16" x14ac:dyDescent="0.3">
      <c r="A103" s="7">
        <v>45317</v>
      </c>
      <c r="B103" s="8" t="s">
        <v>16</v>
      </c>
      <c r="C103" s="25">
        <v>9.5670000000000002</v>
      </c>
      <c r="D103" s="22">
        <v>10.726000000000001</v>
      </c>
      <c r="E103" s="10">
        <v>33000</v>
      </c>
      <c r="F103" s="10">
        <v>14000</v>
      </c>
      <c r="G103" s="11" t="s">
        <v>34</v>
      </c>
      <c r="H103" s="12"/>
      <c r="I103" s="13">
        <v>14000</v>
      </c>
      <c r="J103" s="11"/>
      <c r="K103" s="29">
        <f t="shared" si="15"/>
        <v>4472.3636363636178</v>
      </c>
      <c r="L103" s="15"/>
      <c r="M103" s="15">
        <v>12.15</v>
      </c>
      <c r="N103" s="16">
        <f t="shared" si="10"/>
        <v>170100</v>
      </c>
      <c r="O103" s="17">
        <f t="shared" si="8"/>
        <v>154636.36363636362</v>
      </c>
      <c r="P103" s="18">
        <f t="shared" si="11"/>
        <v>150164</v>
      </c>
    </row>
    <row r="104" spans="1:16" x14ac:dyDescent="0.3">
      <c r="A104" s="7">
        <v>45317</v>
      </c>
      <c r="B104" s="8" t="s">
        <v>16</v>
      </c>
      <c r="C104" s="25">
        <v>9.5670000000000002</v>
      </c>
      <c r="D104" s="22">
        <v>10.726000000000001</v>
      </c>
      <c r="E104" s="19"/>
      <c r="F104" s="19"/>
      <c r="G104" s="20" t="s">
        <v>23</v>
      </c>
      <c r="H104" s="12">
        <v>18000</v>
      </c>
      <c r="I104" s="13"/>
      <c r="J104" s="11"/>
      <c r="K104" s="29">
        <f t="shared" si="15"/>
        <v>30212.181818181794</v>
      </c>
      <c r="L104" s="15">
        <v>12.37</v>
      </c>
      <c r="M104" s="15"/>
      <c r="N104" s="16">
        <f t="shared" si="10"/>
        <v>222660</v>
      </c>
      <c r="O104" s="17">
        <f t="shared" si="8"/>
        <v>202418.18181818179</v>
      </c>
      <c r="P104" s="18">
        <f t="shared" si="11"/>
        <v>172206</v>
      </c>
    </row>
    <row r="105" spans="1:16" x14ac:dyDescent="0.3">
      <c r="A105" s="7">
        <v>45317</v>
      </c>
      <c r="B105" s="8" t="s">
        <v>16</v>
      </c>
      <c r="C105" s="25">
        <v>9.5670000000000002</v>
      </c>
      <c r="D105" s="22">
        <v>10.726000000000001</v>
      </c>
      <c r="E105" s="21"/>
      <c r="F105" s="21"/>
      <c r="G105" s="20" t="s">
        <v>35</v>
      </c>
      <c r="H105" s="12">
        <v>15000</v>
      </c>
      <c r="I105" s="13"/>
      <c r="J105" s="11"/>
      <c r="K105" s="29">
        <f t="shared" si="15"/>
        <v>25585.909090909088</v>
      </c>
      <c r="L105" s="15">
        <v>12.4</v>
      </c>
      <c r="M105" s="15"/>
      <c r="N105" s="16">
        <f t="shared" si="10"/>
        <v>186000</v>
      </c>
      <c r="O105" s="17">
        <f t="shared" si="8"/>
        <v>169090.90909090909</v>
      </c>
      <c r="P105" s="18">
        <f t="shared" si="11"/>
        <v>143505</v>
      </c>
    </row>
    <row r="106" spans="1:16" x14ac:dyDescent="0.3">
      <c r="A106" s="7">
        <v>45317</v>
      </c>
      <c r="B106" s="8" t="s">
        <v>20</v>
      </c>
      <c r="C106" s="25">
        <f t="shared" ref="C106:C107" si="21">10.4/1.1</f>
        <v>9.4545454545454533</v>
      </c>
      <c r="D106" s="30">
        <f t="shared" ref="D106:D107" si="22">11.5/1.1</f>
        <v>10.454545454545453</v>
      </c>
      <c r="E106" s="10">
        <v>50000</v>
      </c>
      <c r="F106" s="12"/>
      <c r="G106" s="20" t="s">
        <v>17</v>
      </c>
      <c r="H106" s="12">
        <v>33000</v>
      </c>
      <c r="I106" s="13"/>
      <c r="J106" s="11"/>
      <c r="K106" s="29">
        <f t="shared" si="15"/>
        <v>900.00000000005821</v>
      </c>
      <c r="L106" s="15">
        <v>10.43</v>
      </c>
      <c r="M106" s="15"/>
      <c r="N106" s="16">
        <f t="shared" si="10"/>
        <v>344190</v>
      </c>
      <c r="O106" s="17">
        <f t="shared" si="8"/>
        <v>312900</v>
      </c>
      <c r="P106" s="18">
        <f t="shared" si="11"/>
        <v>311999.99999999994</v>
      </c>
    </row>
    <row r="107" spans="1:16" x14ac:dyDescent="0.3">
      <c r="A107" s="7">
        <v>45317</v>
      </c>
      <c r="B107" s="8" t="s">
        <v>20</v>
      </c>
      <c r="C107" s="25">
        <f t="shared" si="21"/>
        <v>9.4545454545454533</v>
      </c>
      <c r="D107" s="30">
        <f t="shared" si="22"/>
        <v>10.454545454545453</v>
      </c>
      <c r="E107" s="21"/>
      <c r="F107" s="12"/>
      <c r="G107" s="20" t="s">
        <v>17</v>
      </c>
      <c r="H107" s="12">
        <v>17000</v>
      </c>
      <c r="I107" s="13"/>
      <c r="J107" s="11"/>
      <c r="K107" s="29">
        <f t="shared" si="15"/>
        <v>463.63636363638216</v>
      </c>
      <c r="L107" s="15">
        <v>10.43</v>
      </c>
      <c r="M107" s="15"/>
      <c r="N107" s="16">
        <f t="shared" si="10"/>
        <v>177310</v>
      </c>
      <c r="O107" s="17">
        <f t="shared" si="8"/>
        <v>161190.90909090909</v>
      </c>
      <c r="P107" s="18">
        <f t="shared" si="11"/>
        <v>160727.27272727271</v>
      </c>
    </row>
    <row r="108" spans="1:16" x14ac:dyDescent="0.3">
      <c r="A108" s="7">
        <v>45321</v>
      </c>
      <c r="B108" s="8" t="s">
        <v>16</v>
      </c>
      <c r="C108" s="25">
        <v>9.5670000000000002</v>
      </c>
      <c r="D108" s="22">
        <v>10.726000000000001</v>
      </c>
      <c r="E108" s="12">
        <v>28000</v>
      </c>
      <c r="F108" s="12">
        <v>5000</v>
      </c>
      <c r="G108" s="20" t="s">
        <v>17</v>
      </c>
      <c r="H108" s="12">
        <v>28000</v>
      </c>
      <c r="I108" s="13">
        <v>5000</v>
      </c>
      <c r="J108" s="11"/>
      <c r="K108" s="29">
        <f t="shared" si="15"/>
        <v>1130.3636363635887</v>
      </c>
      <c r="L108" s="15">
        <v>10.55</v>
      </c>
      <c r="M108" s="15">
        <v>11.9</v>
      </c>
      <c r="N108" s="16">
        <f t="shared" si="10"/>
        <v>354900</v>
      </c>
      <c r="O108" s="17">
        <f t="shared" si="8"/>
        <v>322636.36363636359</v>
      </c>
      <c r="P108" s="18">
        <f t="shared" si="11"/>
        <v>321506</v>
      </c>
    </row>
    <row r="109" spans="1:16" x14ac:dyDescent="0.3">
      <c r="A109" s="7">
        <v>45320</v>
      </c>
      <c r="B109" s="8" t="s">
        <v>16</v>
      </c>
      <c r="C109" s="25">
        <v>9.5670000000000002</v>
      </c>
      <c r="D109" s="22">
        <v>10.726000000000001</v>
      </c>
      <c r="E109" s="10">
        <v>141000</v>
      </c>
      <c r="F109" s="10">
        <v>33000</v>
      </c>
      <c r="G109" s="20" t="s">
        <v>33</v>
      </c>
      <c r="H109" s="12">
        <v>33000</v>
      </c>
      <c r="I109" s="13"/>
      <c r="J109" s="11"/>
      <c r="K109" s="29">
        <f t="shared" si="15"/>
        <v>789</v>
      </c>
      <c r="L109" s="15">
        <v>10.55</v>
      </c>
      <c r="M109" s="15">
        <v>11.9</v>
      </c>
      <c r="N109" s="16">
        <f t="shared" si="10"/>
        <v>348150</v>
      </c>
      <c r="O109" s="17">
        <f t="shared" si="8"/>
        <v>316500</v>
      </c>
      <c r="P109" s="18">
        <f t="shared" si="11"/>
        <v>315711</v>
      </c>
    </row>
    <row r="110" spans="1:16" x14ac:dyDescent="0.3">
      <c r="A110" s="7">
        <v>45320</v>
      </c>
      <c r="B110" s="8" t="s">
        <v>16</v>
      </c>
      <c r="C110" s="25">
        <v>9.5670000000000002</v>
      </c>
      <c r="D110" s="22">
        <v>10.726000000000001</v>
      </c>
      <c r="E110" s="19"/>
      <c r="F110" s="19"/>
      <c r="G110" s="20" t="s">
        <v>33</v>
      </c>
      <c r="H110" s="12">
        <v>10000</v>
      </c>
      <c r="I110" s="13">
        <v>7000</v>
      </c>
      <c r="J110" s="11"/>
      <c r="K110" s="29">
        <f>O110-P110</f>
        <v>884.36363636361784</v>
      </c>
      <c r="L110" s="15">
        <v>10.55</v>
      </c>
      <c r="M110" s="15">
        <v>11.9</v>
      </c>
      <c r="N110" s="16">
        <f t="shared" si="10"/>
        <v>188800</v>
      </c>
      <c r="O110" s="17">
        <f t="shared" si="8"/>
        <v>171636.36363636362</v>
      </c>
      <c r="P110" s="18">
        <f t="shared" si="11"/>
        <v>170752</v>
      </c>
    </row>
    <row r="111" spans="1:16" x14ac:dyDescent="0.3">
      <c r="A111" s="7">
        <v>45320</v>
      </c>
      <c r="B111" s="8" t="s">
        <v>16</v>
      </c>
      <c r="C111" s="25">
        <v>9.5670000000000002</v>
      </c>
      <c r="D111" s="22">
        <v>10.726000000000001</v>
      </c>
      <c r="E111" s="19"/>
      <c r="F111" s="19"/>
      <c r="G111" s="20" t="s">
        <v>33</v>
      </c>
      <c r="H111" s="12">
        <v>26000</v>
      </c>
      <c r="I111" s="13">
        <v>7000</v>
      </c>
      <c r="J111" s="11"/>
      <c r="K111" s="29">
        <f t="shared" si="15"/>
        <v>1266.9090909090592</v>
      </c>
      <c r="L111" s="15">
        <v>10.55</v>
      </c>
      <c r="M111" s="15">
        <v>11.9</v>
      </c>
      <c r="N111" s="16">
        <f t="shared" si="10"/>
        <v>357600</v>
      </c>
      <c r="O111" s="17">
        <f t="shared" si="8"/>
        <v>325090.90909090906</v>
      </c>
      <c r="P111" s="18">
        <f t="shared" si="11"/>
        <v>323824</v>
      </c>
    </row>
    <row r="112" spans="1:16" x14ac:dyDescent="0.3">
      <c r="A112" s="7">
        <v>45320</v>
      </c>
      <c r="B112" s="8" t="s">
        <v>16</v>
      </c>
      <c r="C112" s="25">
        <v>9.5670000000000002</v>
      </c>
      <c r="D112" s="22">
        <v>10.726000000000001</v>
      </c>
      <c r="E112" s="19"/>
      <c r="F112" s="19"/>
      <c r="G112" s="20" t="s">
        <v>33</v>
      </c>
      <c r="H112" s="12">
        <v>26000</v>
      </c>
      <c r="I112" s="13">
        <v>7000</v>
      </c>
      <c r="J112" s="11"/>
      <c r="K112" s="29">
        <f t="shared" si="15"/>
        <v>1266.9090909090592</v>
      </c>
      <c r="L112" s="15">
        <v>10.55</v>
      </c>
      <c r="M112" s="15">
        <v>11.9</v>
      </c>
      <c r="N112" s="16">
        <f t="shared" si="10"/>
        <v>357600</v>
      </c>
      <c r="O112" s="17">
        <f t="shared" si="8"/>
        <v>325090.90909090906</v>
      </c>
      <c r="P112" s="18">
        <f t="shared" si="11"/>
        <v>323824</v>
      </c>
    </row>
    <row r="113" spans="1:16" x14ac:dyDescent="0.3">
      <c r="A113" s="7">
        <v>45320</v>
      </c>
      <c r="B113" s="8" t="s">
        <v>16</v>
      </c>
      <c r="C113" s="25">
        <v>9.5670000000000002</v>
      </c>
      <c r="D113" s="22">
        <v>10.726000000000001</v>
      </c>
      <c r="E113" s="19"/>
      <c r="F113" s="19"/>
      <c r="G113" s="20" t="s">
        <v>18</v>
      </c>
      <c r="H113" s="12"/>
      <c r="I113" s="13">
        <v>12000</v>
      </c>
      <c r="J113" s="11"/>
      <c r="K113" s="29">
        <f t="shared" si="15"/>
        <v>3833.454545454515</v>
      </c>
      <c r="L113" s="15"/>
      <c r="M113" s="15">
        <v>12.15</v>
      </c>
      <c r="N113" s="16">
        <f t="shared" si="10"/>
        <v>145800</v>
      </c>
      <c r="O113" s="17">
        <f t="shared" si="8"/>
        <v>132545.45454545453</v>
      </c>
      <c r="P113" s="18">
        <f t="shared" si="11"/>
        <v>128712.00000000001</v>
      </c>
    </row>
    <row r="114" spans="1:16" x14ac:dyDescent="0.3">
      <c r="A114" s="7">
        <v>45320</v>
      </c>
      <c r="B114" s="8" t="s">
        <v>16</v>
      </c>
      <c r="C114" s="25">
        <v>9.5670000000000002</v>
      </c>
      <c r="D114" s="22">
        <v>10.726000000000001</v>
      </c>
      <c r="E114" s="19"/>
      <c r="F114" s="19"/>
      <c r="G114" s="20" t="s">
        <v>18</v>
      </c>
      <c r="H114" s="12">
        <v>32000</v>
      </c>
      <c r="I114" s="13"/>
      <c r="J114" s="11"/>
      <c r="K114" s="29">
        <f t="shared" si="15"/>
        <v>765.09090909088263</v>
      </c>
      <c r="L114" s="15">
        <v>10.55</v>
      </c>
      <c r="M114" s="15"/>
      <c r="N114" s="16">
        <f t="shared" si="10"/>
        <v>337600</v>
      </c>
      <c r="O114" s="17">
        <f t="shared" si="8"/>
        <v>306909.09090909088</v>
      </c>
      <c r="P114" s="18">
        <f t="shared" si="11"/>
        <v>306144</v>
      </c>
    </row>
    <row r="115" spans="1:16" x14ac:dyDescent="0.3">
      <c r="A115" s="7">
        <v>45320</v>
      </c>
      <c r="B115" s="8" t="s">
        <v>16</v>
      </c>
      <c r="C115" s="25">
        <v>9.5670000000000002</v>
      </c>
      <c r="D115" s="22">
        <v>10.726000000000001</v>
      </c>
      <c r="E115" s="21"/>
      <c r="F115" s="21"/>
      <c r="G115" s="20" t="s">
        <v>18</v>
      </c>
      <c r="H115" s="12">
        <v>14000</v>
      </c>
      <c r="I115" s="13"/>
      <c r="J115" s="11"/>
      <c r="K115" s="29">
        <f t="shared" si="15"/>
        <v>334.72727272726479</v>
      </c>
      <c r="L115" s="15">
        <v>10.55</v>
      </c>
      <c r="M115" s="15"/>
      <c r="N115" s="16">
        <f t="shared" si="10"/>
        <v>147700</v>
      </c>
      <c r="O115" s="17">
        <f t="shared" si="8"/>
        <v>134272.72727272726</v>
      </c>
      <c r="P115" s="18">
        <f t="shared" si="11"/>
        <v>133938</v>
      </c>
    </row>
    <row r="116" spans="1:16" x14ac:dyDescent="0.3">
      <c r="A116" s="7">
        <v>45321</v>
      </c>
      <c r="B116" s="8" t="s">
        <v>16</v>
      </c>
      <c r="C116" s="25">
        <v>9.5670000000000002</v>
      </c>
      <c r="D116" s="22">
        <v>10.726000000000001</v>
      </c>
      <c r="E116" s="10">
        <f>165000+33000</f>
        <v>198000</v>
      </c>
      <c r="F116" s="10">
        <v>7000</v>
      </c>
      <c r="G116" s="11" t="s">
        <v>30</v>
      </c>
      <c r="H116" s="12">
        <v>13000</v>
      </c>
      <c r="I116" s="13"/>
      <c r="J116" s="11"/>
      <c r="K116" s="29">
        <f t="shared" si="15"/>
        <v>21583.545454545441</v>
      </c>
      <c r="L116" s="15">
        <v>12.35</v>
      </c>
      <c r="M116" s="15"/>
      <c r="N116" s="16">
        <f t="shared" si="10"/>
        <v>160550</v>
      </c>
      <c r="O116" s="17">
        <f t="shared" si="8"/>
        <v>145954.54545454544</v>
      </c>
      <c r="P116" s="18">
        <f t="shared" si="11"/>
        <v>124371</v>
      </c>
    </row>
    <row r="117" spans="1:16" hidden="1" x14ac:dyDescent="0.3">
      <c r="A117" s="7">
        <v>45321</v>
      </c>
      <c r="B117" s="8" t="s">
        <v>16</v>
      </c>
      <c r="C117" s="25">
        <v>9.5670000000000002</v>
      </c>
      <c r="D117" s="22">
        <v>10.726000000000001</v>
      </c>
      <c r="E117" s="19"/>
      <c r="F117" s="19"/>
      <c r="G117" s="20" t="s">
        <v>22</v>
      </c>
      <c r="H117" s="12">
        <v>20000</v>
      </c>
      <c r="I117" s="13"/>
      <c r="J117" s="11"/>
      <c r="K117" s="29">
        <f t="shared" si="15"/>
        <v>-191340</v>
      </c>
      <c r="L117" s="15"/>
      <c r="M117" s="15"/>
      <c r="N117" s="16">
        <f t="shared" si="10"/>
        <v>0</v>
      </c>
      <c r="O117" s="17">
        <f t="shared" si="8"/>
        <v>0</v>
      </c>
      <c r="P117" s="18">
        <f t="shared" si="11"/>
        <v>191340</v>
      </c>
    </row>
    <row r="118" spans="1:16" x14ac:dyDescent="0.3">
      <c r="A118" s="7">
        <v>45321</v>
      </c>
      <c r="B118" s="8" t="s">
        <v>16</v>
      </c>
      <c r="C118" s="25">
        <v>9.5670000000000002</v>
      </c>
      <c r="D118" s="22">
        <v>10.726000000000001</v>
      </c>
      <c r="E118" s="19"/>
      <c r="F118" s="19"/>
      <c r="G118" s="20" t="s">
        <v>18</v>
      </c>
      <c r="H118" s="12">
        <v>12000</v>
      </c>
      <c r="I118" s="13"/>
      <c r="J118" s="11"/>
      <c r="K118" s="29">
        <f t="shared" si="15"/>
        <v>286.90909090908826</v>
      </c>
      <c r="L118" s="15">
        <v>10.55</v>
      </c>
      <c r="M118" s="15"/>
      <c r="N118" s="16">
        <f t="shared" si="10"/>
        <v>126600.00000000001</v>
      </c>
      <c r="O118" s="17">
        <f t="shared" si="8"/>
        <v>115090.90909090909</v>
      </c>
      <c r="P118" s="18">
        <f t="shared" si="11"/>
        <v>114804</v>
      </c>
    </row>
    <row r="119" spans="1:16" x14ac:dyDescent="0.3">
      <c r="A119" s="7">
        <v>45321</v>
      </c>
      <c r="B119" s="8" t="s">
        <v>16</v>
      </c>
      <c r="C119" s="25">
        <v>9.5670000000000002</v>
      </c>
      <c r="D119" s="22">
        <v>10.726000000000001</v>
      </c>
      <c r="E119" s="19"/>
      <c r="F119" s="19"/>
      <c r="G119" s="20" t="s">
        <v>18</v>
      </c>
      <c r="H119" s="12">
        <v>14000</v>
      </c>
      <c r="I119" s="13"/>
      <c r="J119" s="11"/>
      <c r="K119" s="29">
        <f t="shared" si="15"/>
        <v>334.72727272726479</v>
      </c>
      <c r="L119" s="15">
        <v>10.55</v>
      </c>
      <c r="M119" s="15"/>
      <c r="N119" s="16">
        <f t="shared" si="10"/>
        <v>147700</v>
      </c>
      <c r="O119" s="17">
        <f t="shared" si="8"/>
        <v>134272.72727272726</v>
      </c>
      <c r="P119" s="18">
        <f t="shared" si="11"/>
        <v>133938</v>
      </c>
    </row>
    <row r="120" spans="1:16" x14ac:dyDescent="0.3">
      <c r="A120" s="7">
        <v>45321</v>
      </c>
      <c r="B120" s="8" t="s">
        <v>16</v>
      </c>
      <c r="C120" s="25">
        <v>9.5670000000000002</v>
      </c>
      <c r="D120" s="22">
        <v>10.726000000000001</v>
      </c>
      <c r="E120" s="19"/>
      <c r="F120" s="19"/>
      <c r="G120" s="20" t="s">
        <v>18</v>
      </c>
      <c r="H120" s="12">
        <v>32000</v>
      </c>
      <c r="I120" s="13"/>
      <c r="J120" s="11"/>
      <c r="K120" s="29">
        <f t="shared" si="15"/>
        <v>765.09090909088263</v>
      </c>
      <c r="L120" s="15">
        <v>10.55</v>
      </c>
      <c r="M120" s="15"/>
      <c r="N120" s="16">
        <f t="shared" si="10"/>
        <v>337600</v>
      </c>
      <c r="O120" s="17">
        <f t="shared" si="8"/>
        <v>306909.09090909088</v>
      </c>
      <c r="P120" s="18">
        <f t="shared" si="11"/>
        <v>306144</v>
      </c>
    </row>
    <row r="121" spans="1:16" x14ac:dyDescent="0.3">
      <c r="A121" s="7">
        <v>45321</v>
      </c>
      <c r="B121" s="8" t="s">
        <v>16</v>
      </c>
      <c r="C121" s="25">
        <v>9.5670000000000002</v>
      </c>
      <c r="D121" s="22">
        <v>10.726000000000001</v>
      </c>
      <c r="E121" s="19"/>
      <c r="F121" s="19"/>
      <c r="G121" s="20" t="s">
        <v>18</v>
      </c>
      <c r="H121" s="12">
        <v>14000</v>
      </c>
      <c r="I121" s="13"/>
      <c r="J121" s="11"/>
      <c r="K121" s="29">
        <f t="shared" si="15"/>
        <v>334.72727272726479</v>
      </c>
      <c r="L121" s="15">
        <v>10.55</v>
      </c>
      <c r="M121" s="15"/>
      <c r="N121" s="16">
        <f t="shared" si="10"/>
        <v>147700</v>
      </c>
      <c r="O121" s="17">
        <f t="shared" si="8"/>
        <v>134272.72727272726</v>
      </c>
      <c r="P121" s="18">
        <f t="shared" si="11"/>
        <v>133938</v>
      </c>
    </row>
    <row r="122" spans="1:16" x14ac:dyDescent="0.3">
      <c r="A122" s="7">
        <v>45321</v>
      </c>
      <c r="B122" s="8" t="s">
        <v>16</v>
      </c>
      <c r="C122" s="25">
        <v>9.5670000000000002</v>
      </c>
      <c r="D122" s="22">
        <v>10.726000000000001</v>
      </c>
      <c r="E122" s="19"/>
      <c r="F122" s="19"/>
      <c r="G122" s="20" t="s">
        <v>33</v>
      </c>
      <c r="H122" s="12">
        <v>17000</v>
      </c>
      <c r="I122" s="13"/>
      <c r="J122" s="11"/>
      <c r="K122" s="29">
        <f t="shared" si="15"/>
        <v>406.45454545452958</v>
      </c>
      <c r="L122" s="15">
        <v>10.55</v>
      </c>
      <c r="M122" s="15"/>
      <c r="N122" s="16">
        <f t="shared" si="10"/>
        <v>179350</v>
      </c>
      <c r="O122" s="17">
        <f t="shared" si="8"/>
        <v>163045.45454545453</v>
      </c>
      <c r="P122" s="18">
        <f t="shared" si="11"/>
        <v>162639</v>
      </c>
    </row>
    <row r="123" spans="1:16" x14ac:dyDescent="0.3">
      <c r="A123" s="7">
        <v>45321</v>
      </c>
      <c r="B123" s="8" t="s">
        <v>16</v>
      </c>
      <c r="C123" s="25">
        <v>9.5670000000000002</v>
      </c>
      <c r="D123" s="22">
        <v>10.726000000000001</v>
      </c>
      <c r="E123" s="19"/>
      <c r="F123" s="19"/>
      <c r="G123" s="20" t="s">
        <v>33</v>
      </c>
      <c r="H123" s="12">
        <v>33000</v>
      </c>
      <c r="I123" s="13"/>
      <c r="J123" s="11"/>
      <c r="K123" s="29">
        <f t="shared" si="15"/>
        <v>789</v>
      </c>
      <c r="L123" s="15">
        <v>10.55</v>
      </c>
      <c r="M123" s="15"/>
      <c r="N123" s="16">
        <f t="shared" si="10"/>
        <v>348150</v>
      </c>
      <c r="O123" s="17">
        <f t="shared" si="8"/>
        <v>316500</v>
      </c>
      <c r="P123" s="18">
        <f t="shared" si="11"/>
        <v>315711</v>
      </c>
    </row>
    <row r="124" spans="1:16" x14ac:dyDescent="0.3">
      <c r="A124" s="7">
        <v>45322</v>
      </c>
      <c r="B124" s="8" t="s">
        <v>16</v>
      </c>
      <c r="C124" s="25">
        <v>9.5670000000000002</v>
      </c>
      <c r="D124" s="22">
        <v>10.726000000000001</v>
      </c>
      <c r="E124" s="19"/>
      <c r="F124" s="19"/>
      <c r="G124" s="20" t="s">
        <v>27</v>
      </c>
      <c r="H124" s="12">
        <v>10000</v>
      </c>
      <c r="I124" s="13">
        <v>7000</v>
      </c>
      <c r="J124" s="11"/>
      <c r="K124" s="29">
        <f t="shared" si="15"/>
        <v>26738.909090909088</v>
      </c>
      <c r="L124" s="15">
        <v>12.05</v>
      </c>
      <c r="M124" s="15">
        <v>13.82</v>
      </c>
      <c r="N124" s="16">
        <f t="shared" si="10"/>
        <v>217240</v>
      </c>
      <c r="O124" s="17">
        <f t="shared" si="8"/>
        <v>197490.90909090909</v>
      </c>
      <c r="P124" s="18">
        <f t="shared" si="11"/>
        <v>170752</v>
      </c>
    </row>
    <row r="125" spans="1:16" x14ac:dyDescent="0.3">
      <c r="A125" s="7">
        <v>45321</v>
      </c>
      <c r="B125" s="8" t="s">
        <v>16</v>
      </c>
      <c r="C125" s="25">
        <v>9.5670000000000002</v>
      </c>
      <c r="D125" s="22">
        <v>10.726000000000001</v>
      </c>
      <c r="E125" s="21"/>
      <c r="F125" s="21"/>
      <c r="G125" s="20" t="s">
        <v>33</v>
      </c>
      <c r="H125" s="12">
        <v>33000</v>
      </c>
      <c r="I125" s="13"/>
      <c r="J125" s="11"/>
      <c r="K125" s="29">
        <f t="shared" si="15"/>
        <v>789</v>
      </c>
      <c r="L125" s="15">
        <v>10.55</v>
      </c>
      <c r="M125" s="15"/>
      <c r="N125" s="16">
        <f t="shared" si="10"/>
        <v>348150</v>
      </c>
      <c r="O125" s="17">
        <f t="shared" si="8"/>
        <v>316500</v>
      </c>
      <c r="P125" s="18">
        <f t="shared" si="11"/>
        <v>315711</v>
      </c>
    </row>
    <row r="126" spans="1:16" x14ac:dyDescent="0.3">
      <c r="A126" s="7">
        <v>45322</v>
      </c>
      <c r="B126" s="8" t="s">
        <v>16</v>
      </c>
      <c r="C126" s="25">
        <v>9.5670000000000002</v>
      </c>
      <c r="D126" s="22">
        <v>10.726000000000001</v>
      </c>
      <c r="E126" s="10">
        <v>98000</v>
      </c>
      <c r="F126" s="10">
        <v>82000</v>
      </c>
      <c r="G126" s="20" t="s">
        <v>18</v>
      </c>
      <c r="H126" s="12"/>
      <c r="I126" s="13">
        <v>15000</v>
      </c>
      <c r="J126" s="11"/>
      <c r="K126" s="29">
        <f t="shared" si="15"/>
        <v>4791.8181818181765</v>
      </c>
      <c r="L126" s="15"/>
      <c r="M126" s="15">
        <v>12.15</v>
      </c>
      <c r="N126" s="16">
        <f t="shared" si="10"/>
        <v>182250</v>
      </c>
      <c r="O126" s="17">
        <f t="shared" si="8"/>
        <v>165681.81818181818</v>
      </c>
      <c r="P126" s="18">
        <f t="shared" si="11"/>
        <v>160890</v>
      </c>
    </row>
    <row r="127" spans="1:16" x14ac:dyDescent="0.3">
      <c r="A127" s="7">
        <v>45322</v>
      </c>
      <c r="B127" s="8" t="s">
        <v>16</v>
      </c>
      <c r="C127" s="25">
        <v>9.5670000000000002</v>
      </c>
      <c r="D127" s="22">
        <v>10.726000000000001</v>
      </c>
      <c r="E127" s="19"/>
      <c r="F127" s="19"/>
      <c r="G127" s="20" t="s">
        <v>33</v>
      </c>
      <c r="H127" s="12"/>
      <c r="I127" s="13">
        <v>33000</v>
      </c>
      <c r="J127" s="11"/>
      <c r="K127" s="29">
        <f t="shared" si="15"/>
        <v>3042</v>
      </c>
      <c r="L127" s="15"/>
      <c r="M127" s="15">
        <v>11.9</v>
      </c>
      <c r="N127" s="16">
        <f t="shared" si="10"/>
        <v>392700</v>
      </c>
      <c r="O127" s="17">
        <f t="shared" si="8"/>
        <v>357000</v>
      </c>
      <c r="P127" s="18">
        <f t="shared" si="11"/>
        <v>353958</v>
      </c>
    </row>
    <row r="128" spans="1:16" x14ac:dyDescent="0.3">
      <c r="A128" s="7">
        <v>45322</v>
      </c>
      <c r="B128" s="8" t="s">
        <v>16</v>
      </c>
      <c r="C128" s="25">
        <v>9.5670000000000002</v>
      </c>
      <c r="D128" s="22">
        <v>10.726000000000001</v>
      </c>
      <c r="E128" s="19"/>
      <c r="F128" s="19"/>
      <c r="G128" s="20" t="s">
        <v>33</v>
      </c>
      <c r="H128" s="12">
        <v>33000</v>
      </c>
      <c r="I128" s="13"/>
      <c r="J128" s="11"/>
      <c r="K128" s="29">
        <f t="shared" si="15"/>
        <v>789</v>
      </c>
      <c r="L128" s="15">
        <v>10.55</v>
      </c>
      <c r="M128" s="15">
        <v>11.9</v>
      </c>
      <c r="N128" s="16">
        <f t="shared" si="10"/>
        <v>348150</v>
      </c>
      <c r="O128" s="17">
        <f t="shared" ref="O128:O133" si="23">N128/1.1</f>
        <v>316500</v>
      </c>
      <c r="P128" s="18">
        <f t="shared" si="11"/>
        <v>315711</v>
      </c>
    </row>
    <row r="129" spans="1:16" x14ac:dyDescent="0.3">
      <c r="A129" s="7">
        <v>45322</v>
      </c>
      <c r="B129" s="8" t="s">
        <v>16</v>
      </c>
      <c r="C129" s="25">
        <v>9.5670000000000002</v>
      </c>
      <c r="D129" s="22">
        <v>10.726000000000001</v>
      </c>
      <c r="E129" s="19"/>
      <c r="F129" s="19"/>
      <c r="G129" s="20" t="s">
        <v>33</v>
      </c>
      <c r="H129" s="12">
        <v>23000</v>
      </c>
      <c r="I129" s="13">
        <v>10000</v>
      </c>
      <c r="J129" s="11"/>
      <c r="K129" s="29">
        <f t="shared" si="15"/>
        <v>1471.7272727272357</v>
      </c>
      <c r="L129" s="15">
        <v>10.55</v>
      </c>
      <c r="M129" s="15">
        <v>11.9</v>
      </c>
      <c r="N129" s="16">
        <f t="shared" si="10"/>
        <v>361650</v>
      </c>
      <c r="O129" s="17">
        <f t="shared" si="23"/>
        <v>328772.72727272724</v>
      </c>
      <c r="P129" s="18">
        <f t="shared" si="11"/>
        <v>327301</v>
      </c>
    </row>
    <row r="130" spans="1:16" x14ac:dyDescent="0.3">
      <c r="A130" s="7">
        <v>45322</v>
      </c>
      <c r="B130" s="8" t="s">
        <v>16</v>
      </c>
      <c r="C130" s="25">
        <v>9.5670000000000002</v>
      </c>
      <c r="D130" s="22">
        <v>10.726000000000001</v>
      </c>
      <c r="E130" s="19"/>
      <c r="F130" s="19"/>
      <c r="G130" s="20" t="s">
        <v>33</v>
      </c>
      <c r="H130" s="12">
        <v>21000</v>
      </c>
      <c r="I130" s="13">
        <v>12000</v>
      </c>
      <c r="J130" s="11"/>
      <c r="K130" s="29">
        <f t="shared" si="15"/>
        <v>1608.2727272727061</v>
      </c>
      <c r="L130" s="15">
        <v>10.55</v>
      </c>
      <c r="M130" s="15">
        <v>11.9</v>
      </c>
      <c r="N130" s="16">
        <f t="shared" ref="N130:N193" si="24">(H130*L130)+(I130*M130)</f>
        <v>364350</v>
      </c>
      <c r="O130" s="17">
        <f t="shared" si="23"/>
        <v>331227.27272727271</v>
      </c>
      <c r="P130" s="18">
        <f t="shared" ref="P130:P193" si="25">(C130*H130)+(I130*D130)</f>
        <v>329619</v>
      </c>
    </row>
    <row r="131" spans="1:16" x14ac:dyDescent="0.3">
      <c r="A131" s="7">
        <v>45322</v>
      </c>
      <c r="B131" s="8" t="s">
        <v>16</v>
      </c>
      <c r="C131" s="25">
        <v>9.5670000000000002</v>
      </c>
      <c r="D131" s="22">
        <v>10.726000000000001</v>
      </c>
      <c r="E131" s="21"/>
      <c r="F131" s="21"/>
      <c r="G131" s="20" t="s">
        <v>33</v>
      </c>
      <c r="H131" s="12">
        <v>21000</v>
      </c>
      <c r="I131" s="13">
        <v>12000</v>
      </c>
      <c r="J131" s="11"/>
      <c r="K131" s="29">
        <f t="shared" si="15"/>
        <v>1608.2727272727061</v>
      </c>
      <c r="L131" s="15">
        <v>10.55</v>
      </c>
      <c r="M131" s="15">
        <v>11.9</v>
      </c>
      <c r="N131" s="16">
        <f t="shared" si="24"/>
        <v>364350</v>
      </c>
      <c r="O131" s="17">
        <f t="shared" si="23"/>
        <v>331227.27272727271</v>
      </c>
      <c r="P131" s="18">
        <f t="shared" si="25"/>
        <v>329619</v>
      </c>
    </row>
    <row r="132" spans="1:16" hidden="1" x14ac:dyDescent="0.3">
      <c r="A132" s="7">
        <v>45322</v>
      </c>
      <c r="B132" s="8" t="s">
        <v>20</v>
      </c>
      <c r="C132" s="25">
        <f t="shared" ref="C132" si="26">10.4/1.1</f>
        <v>9.4545454545454533</v>
      </c>
      <c r="D132" s="30">
        <f t="shared" ref="D132" si="27">11.5/1.1</f>
        <v>10.454545454545453</v>
      </c>
      <c r="E132" s="12">
        <v>16000</v>
      </c>
      <c r="F132" s="12"/>
      <c r="G132" s="20" t="s">
        <v>22</v>
      </c>
      <c r="H132" s="12">
        <v>16000</v>
      </c>
      <c r="I132" s="13"/>
      <c r="J132" s="11"/>
      <c r="K132" s="29">
        <f t="shared" si="15"/>
        <v>-151272.72727272726</v>
      </c>
      <c r="L132" s="15"/>
      <c r="M132" s="15"/>
      <c r="N132" s="16">
        <f t="shared" si="24"/>
        <v>0</v>
      </c>
      <c r="O132" s="17">
        <f t="shared" si="23"/>
        <v>0</v>
      </c>
      <c r="P132" s="18">
        <f t="shared" si="25"/>
        <v>151272.72727272726</v>
      </c>
    </row>
    <row r="133" spans="1:16" x14ac:dyDescent="0.3">
      <c r="A133" s="7">
        <v>45322</v>
      </c>
      <c r="B133" s="8" t="s">
        <v>19</v>
      </c>
      <c r="C133" s="25">
        <v>9.5670000000000002</v>
      </c>
      <c r="D133" s="22">
        <v>10.726000000000001</v>
      </c>
      <c r="E133" s="12">
        <v>20000</v>
      </c>
      <c r="F133" s="12"/>
      <c r="G133" s="20" t="s">
        <v>31</v>
      </c>
      <c r="H133" s="12">
        <v>20000</v>
      </c>
      <c r="I133" s="13"/>
      <c r="J133" s="11"/>
      <c r="K133" s="29">
        <f t="shared" si="15"/>
        <v>29932.727272727265</v>
      </c>
      <c r="L133" s="15">
        <v>12.17</v>
      </c>
      <c r="M133" s="15"/>
      <c r="N133" s="16">
        <f t="shared" si="24"/>
        <v>243400</v>
      </c>
      <c r="O133" s="17">
        <f t="shared" si="23"/>
        <v>221272.72727272726</v>
      </c>
      <c r="P133" s="18">
        <f t="shared" si="25"/>
        <v>191340</v>
      </c>
    </row>
    <row r="134" spans="1:16" x14ac:dyDescent="0.3">
      <c r="A134" s="7">
        <v>45323</v>
      </c>
      <c r="B134" s="8" t="s">
        <v>16</v>
      </c>
      <c r="C134" s="25">
        <v>9.5670000000000002</v>
      </c>
      <c r="D134" s="22">
        <v>10.726000000000001</v>
      </c>
      <c r="E134" s="12"/>
      <c r="F134" s="12">
        <v>14000</v>
      </c>
      <c r="G134" s="11" t="s">
        <v>34</v>
      </c>
      <c r="H134" s="12"/>
      <c r="I134" s="13">
        <v>14000</v>
      </c>
      <c r="J134" s="11"/>
      <c r="K134" s="14">
        <f>O134-P134</f>
        <v>4472.3636363636178</v>
      </c>
      <c r="L134" s="15"/>
      <c r="M134" s="15">
        <v>12.15</v>
      </c>
      <c r="N134" s="16">
        <f t="shared" si="24"/>
        <v>170100</v>
      </c>
      <c r="O134" s="17">
        <f>N134/1.1</f>
        <v>154636.36363636362</v>
      </c>
      <c r="P134" s="18">
        <f t="shared" si="25"/>
        <v>150164</v>
      </c>
    </row>
    <row r="135" spans="1:16" x14ac:dyDescent="0.3">
      <c r="A135" s="7">
        <v>45327</v>
      </c>
      <c r="B135" s="8" t="s">
        <v>16</v>
      </c>
      <c r="C135" s="9">
        <v>9.6579999999999995</v>
      </c>
      <c r="D135" s="9">
        <v>10.629</v>
      </c>
      <c r="E135" s="10">
        <v>167000</v>
      </c>
      <c r="F135" s="10">
        <v>27000</v>
      </c>
      <c r="G135" s="20" t="s">
        <v>17</v>
      </c>
      <c r="H135" s="12">
        <v>33000</v>
      </c>
      <c r="I135" s="13"/>
      <c r="J135" s="11"/>
      <c r="K135" s="14">
        <f>O135-P135</f>
        <v>1686</v>
      </c>
      <c r="L135" s="15">
        <v>10.68</v>
      </c>
      <c r="M135" s="15">
        <v>12.22</v>
      </c>
      <c r="N135" s="16">
        <f t="shared" si="24"/>
        <v>352440</v>
      </c>
      <c r="O135" s="17">
        <f t="shared" ref="O135:O194" si="28">N135/1.1</f>
        <v>320400</v>
      </c>
      <c r="P135" s="18">
        <f t="shared" si="25"/>
        <v>318714</v>
      </c>
    </row>
    <row r="136" spans="1:16" x14ac:dyDescent="0.3">
      <c r="A136" s="7">
        <v>45327</v>
      </c>
      <c r="B136" s="8" t="s">
        <v>16</v>
      </c>
      <c r="C136" s="9">
        <v>9.6579999999999995</v>
      </c>
      <c r="D136" s="9">
        <v>10.629</v>
      </c>
      <c r="E136" s="19"/>
      <c r="F136" s="19"/>
      <c r="G136" s="20" t="s">
        <v>17</v>
      </c>
      <c r="H136" s="12">
        <v>33000</v>
      </c>
      <c r="I136" s="13"/>
      <c r="J136" s="11"/>
      <c r="K136" s="14">
        <f t="shared" ref="K136:K200" si="29">O136-P136</f>
        <v>1686</v>
      </c>
      <c r="L136" s="15">
        <v>10.68</v>
      </c>
      <c r="M136" s="15">
        <v>12.22</v>
      </c>
      <c r="N136" s="16">
        <f t="shared" si="24"/>
        <v>352440</v>
      </c>
      <c r="O136" s="17">
        <f t="shared" si="28"/>
        <v>320400</v>
      </c>
      <c r="P136" s="18">
        <f t="shared" si="25"/>
        <v>318714</v>
      </c>
    </row>
    <row r="137" spans="1:16" x14ac:dyDescent="0.3">
      <c r="A137" s="7">
        <v>45327</v>
      </c>
      <c r="B137" s="8" t="s">
        <v>16</v>
      </c>
      <c r="C137" s="9">
        <v>9.6579999999999995</v>
      </c>
      <c r="D137" s="9">
        <v>10.629</v>
      </c>
      <c r="E137" s="19"/>
      <c r="F137" s="19"/>
      <c r="G137" s="20" t="s">
        <v>33</v>
      </c>
      <c r="H137" s="12">
        <v>30000</v>
      </c>
      <c r="I137" s="12">
        <v>3000</v>
      </c>
      <c r="J137" s="11"/>
      <c r="K137" s="14">
        <f t="shared" si="29"/>
        <v>2973</v>
      </c>
      <c r="L137" s="15">
        <v>10.68</v>
      </c>
      <c r="M137" s="15">
        <v>12.22</v>
      </c>
      <c r="N137" s="16">
        <f t="shared" si="24"/>
        <v>357060</v>
      </c>
      <c r="O137" s="17">
        <f t="shared" si="28"/>
        <v>324600</v>
      </c>
      <c r="P137" s="18">
        <f t="shared" si="25"/>
        <v>321627</v>
      </c>
    </row>
    <row r="138" spans="1:16" x14ac:dyDescent="0.3">
      <c r="A138" s="7">
        <v>45327</v>
      </c>
      <c r="B138" s="8" t="s">
        <v>16</v>
      </c>
      <c r="C138" s="9">
        <v>9.6579999999999995</v>
      </c>
      <c r="D138" s="9">
        <v>10.629</v>
      </c>
      <c r="E138" s="19"/>
      <c r="F138" s="19"/>
      <c r="G138" s="11" t="s">
        <v>33</v>
      </c>
      <c r="H138" s="12">
        <v>33000</v>
      </c>
      <c r="I138" s="12"/>
      <c r="J138" s="11"/>
      <c r="K138" s="14">
        <f t="shared" si="29"/>
        <v>1686</v>
      </c>
      <c r="L138" s="15">
        <v>10.68</v>
      </c>
      <c r="M138" s="15">
        <v>12.22</v>
      </c>
      <c r="N138" s="16">
        <f t="shared" si="24"/>
        <v>352440</v>
      </c>
      <c r="O138" s="17">
        <f>N138/1.1</f>
        <v>320400</v>
      </c>
      <c r="P138" s="18">
        <f t="shared" si="25"/>
        <v>318714</v>
      </c>
    </row>
    <row r="139" spans="1:16" x14ac:dyDescent="0.3">
      <c r="A139" s="7">
        <v>45327</v>
      </c>
      <c r="B139" s="8" t="s">
        <v>16</v>
      </c>
      <c r="C139" s="9">
        <v>9.6579999999999995</v>
      </c>
      <c r="D139" s="9">
        <v>10.629</v>
      </c>
      <c r="E139" s="19"/>
      <c r="F139" s="19"/>
      <c r="G139" s="20" t="s">
        <v>18</v>
      </c>
      <c r="H139" s="12">
        <v>0</v>
      </c>
      <c r="I139" s="12">
        <v>14000</v>
      </c>
      <c r="J139" s="11"/>
      <c r="K139" s="14">
        <f t="shared" si="29"/>
        <v>7739.4545454545296</v>
      </c>
      <c r="L139" s="15"/>
      <c r="M139" s="15">
        <v>12.3</v>
      </c>
      <c r="N139" s="16">
        <f t="shared" si="24"/>
        <v>172200</v>
      </c>
      <c r="O139" s="17">
        <f t="shared" si="28"/>
        <v>156545.45454545453</v>
      </c>
      <c r="P139" s="18">
        <f t="shared" si="25"/>
        <v>148806</v>
      </c>
    </row>
    <row r="140" spans="1:16" x14ac:dyDescent="0.3">
      <c r="A140" s="7">
        <v>45327</v>
      </c>
      <c r="B140" s="8" t="s">
        <v>16</v>
      </c>
      <c r="C140" s="9">
        <v>9.6579999999999995</v>
      </c>
      <c r="D140" s="9">
        <v>10.629</v>
      </c>
      <c r="E140" s="19"/>
      <c r="F140" s="19"/>
      <c r="G140" s="20" t="s">
        <v>32</v>
      </c>
      <c r="H140" s="12">
        <v>21000</v>
      </c>
      <c r="I140" s="12">
        <v>10000</v>
      </c>
      <c r="J140" s="11"/>
      <c r="K140" s="14">
        <f t="shared" si="29"/>
        <v>10192</v>
      </c>
      <c r="L140" s="15">
        <v>10.83</v>
      </c>
      <c r="M140" s="15">
        <v>12.38</v>
      </c>
      <c r="N140" s="16">
        <f t="shared" si="24"/>
        <v>351230</v>
      </c>
      <c r="O140" s="17">
        <f t="shared" si="28"/>
        <v>319300</v>
      </c>
      <c r="P140" s="18">
        <f t="shared" si="25"/>
        <v>309108</v>
      </c>
    </row>
    <row r="141" spans="1:16" x14ac:dyDescent="0.3">
      <c r="A141" s="7">
        <v>45327</v>
      </c>
      <c r="B141" s="8" t="s">
        <v>16</v>
      </c>
      <c r="C141" s="9">
        <v>9.6579999999999995</v>
      </c>
      <c r="D141" s="9">
        <v>10.629</v>
      </c>
      <c r="E141" s="21"/>
      <c r="F141" s="21"/>
      <c r="G141" s="20" t="s">
        <v>27</v>
      </c>
      <c r="H141" s="12">
        <v>17000</v>
      </c>
      <c r="I141" s="12"/>
      <c r="J141" s="11"/>
      <c r="K141" s="14">
        <f t="shared" si="29"/>
        <v>22041.272727272706</v>
      </c>
      <c r="L141" s="15">
        <v>12.05</v>
      </c>
      <c r="M141" s="15"/>
      <c r="N141" s="16">
        <f t="shared" si="24"/>
        <v>204850</v>
      </c>
      <c r="O141" s="17">
        <f t="shared" si="28"/>
        <v>186227.27272727271</v>
      </c>
      <c r="P141" s="18">
        <f t="shared" si="25"/>
        <v>164186</v>
      </c>
    </row>
    <row r="142" spans="1:16" x14ac:dyDescent="0.3">
      <c r="A142" s="7">
        <v>45328</v>
      </c>
      <c r="B142" s="8" t="s">
        <v>16</v>
      </c>
      <c r="C142" s="9">
        <v>9.6579999999999995</v>
      </c>
      <c r="D142" s="9">
        <v>10.629</v>
      </c>
      <c r="E142" s="10">
        <v>151000</v>
      </c>
      <c r="F142" s="10">
        <v>72000</v>
      </c>
      <c r="G142" s="23" t="s">
        <v>21</v>
      </c>
      <c r="H142" s="12">
        <v>20000</v>
      </c>
      <c r="I142" s="13"/>
      <c r="J142" s="11"/>
      <c r="K142" s="14">
        <f t="shared" si="29"/>
        <v>33021.818181818177</v>
      </c>
      <c r="L142" s="15">
        <v>12.44</v>
      </c>
      <c r="M142" s="15"/>
      <c r="N142" s="16">
        <f t="shared" si="24"/>
        <v>248800</v>
      </c>
      <c r="O142" s="17">
        <f t="shared" si="28"/>
        <v>226181.81818181818</v>
      </c>
      <c r="P142" s="18">
        <f t="shared" si="25"/>
        <v>193160</v>
      </c>
    </row>
    <row r="143" spans="1:16" x14ac:dyDescent="0.3">
      <c r="A143" s="7">
        <v>45328</v>
      </c>
      <c r="B143" s="8" t="s">
        <v>16</v>
      </c>
      <c r="C143" s="9">
        <v>9.6579999999999995</v>
      </c>
      <c r="D143" s="9">
        <v>10.629</v>
      </c>
      <c r="E143" s="19"/>
      <c r="F143" s="19"/>
      <c r="G143" s="20" t="s">
        <v>23</v>
      </c>
      <c r="H143" s="12">
        <v>13000</v>
      </c>
      <c r="I143" s="12"/>
      <c r="J143" s="11"/>
      <c r="K143" s="14">
        <f t="shared" si="29"/>
        <v>20636.909090909088</v>
      </c>
      <c r="L143" s="15">
        <v>12.37</v>
      </c>
      <c r="M143" s="15">
        <v>13.96</v>
      </c>
      <c r="N143" s="16">
        <f t="shared" si="24"/>
        <v>160810</v>
      </c>
      <c r="O143" s="17">
        <f t="shared" si="28"/>
        <v>146190.90909090909</v>
      </c>
      <c r="P143" s="18">
        <f t="shared" si="25"/>
        <v>125554</v>
      </c>
    </row>
    <row r="144" spans="1:16" x14ac:dyDescent="0.3">
      <c r="A144" s="7">
        <v>45328</v>
      </c>
      <c r="B144" s="8" t="s">
        <v>16</v>
      </c>
      <c r="C144" s="9">
        <v>9.6579999999999995</v>
      </c>
      <c r="D144" s="9">
        <v>10.629</v>
      </c>
      <c r="E144" s="19"/>
      <c r="F144" s="19"/>
      <c r="G144" s="20" t="s">
        <v>33</v>
      </c>
      <c r="H144" s="12">
        <v>29000</v>
      </c>
      <c r="I144" s="13">
        <v>4000</v>
      </c>
      <c r="J144" s="11"/>
      <c r="K144" s="14">
        <f t="shared" si="29"/>
        <v>3402</v>
      </c>
      <c r="L144" s="15">
        <v>10.68</v>
      </c>
      <c r="M144" s="15">
        <v>12.22</v>
      </c>
      <c r="N144" s="16">
        <f t="shared" si="24"/>
        <v>358600</v>
      </c>
      <c r="O144" s="17">
        <f t="shared" si="28"/>
        <v>326000</v>
      </c>
      <c r="P144" s="18">
        <f t="shared" si="25"/>
        <v>322598</v>
      </c>
    </row>
    <row r="145" spans="1:16" x14ac:dyDescent="0.3">
      <c r="A145" s="7">
        <v>45328</v>
      </c>
      <c r="B145" s="8" t="s">
        <v>16</v>
      </c>
      <c r="C145" s="9">
        <v>9.6579999999999995</v>
      </c>
      <c r="D145" s="9">
        <v>10.629</v>
      </c>
      <c r="E145" s="19"/>
      <c r="F145" s="19"/>
      <c r="G145" s="23" t="s">
        <v>33</v>
      </c>
      <c r="H145" s="12"/>
      <c r="I145" s="13">
        <v>33000</v>
      </c>
      <c r="J145" s="11"/>
      <c r="K145" s="14">
        <f t="shared" si="29"/>
        <v>15842.999999999942</v>
      </c>
      <c r="L145" s="15">
        <v>10.68</v>
      </c>
      <c r="M145" s="15">
        <v>12.22</v>
      </c>
      <c r="N145" s="16">
        <f t="shared" si="24"/>
        <v>403260</v>
      </c>
      <c r="O145" s="17">
        <f t="shared" si="28"/>
        <v>366599.99999999994</v>
      </c>
      <c r="P145" s="18">
        <f t="shared" si="25"/>
        <v>350757</v>
      </c>
    </row>
    <row r="146" spans="1:16" x14ac:dyDescent="0.3">
      <c r="A146" s="7">
        <v>45328</v>
      </c>
      <c r="B146" s="8" t="s">
        <v>16</v>
      </c>
      <c r="C146" s="9">
        <v>9.6579999999999995</v>
      </c>
      <c r="D146" s="9">
        <v>10.629</v>
      </c>
      <c r="E146" s="19"/>
      <c r="F146" s="19"/>
      <c r="G146" s="20" t="s">
        <v>23</v>
      </c>
      <c r="H146" s="12"/>
      <c r="I146" s="13">
        <v>6000</v>
      </c>
      <c r="J146" s="11"/>
      <c r="K146" s="14">
        <f t="shared" si="29"/>
        <v>12371.454545454544</v>
      </c>
      <c r="L146" s="15">
        <v>12.37</v>
      </c>
      <c r="M146" s="15">
        <v>13.96</v>
      </c>
      <c r="N146" s="16">
        <f t="shared" si="24"/>
        <v>83760</v>
      </c>
      <c r="O146" s="17">
        <f t="shared" si="28"/>
        <v>76145.454545454544</v>
      </c>
      <c r="P146" s="18">
        <f t="shared" si="25"/>
        <v>63774</v>
      </c>
    </row>
    <row r="147" spans="1:16" hidden="1" x14ac:dyDescent="0.3">
      <c r="A147" s="7">
        <v>45328</v>
      </c>
      <c r="B147" s="8" t="s">
        <v>16</v>
      </c>
      <c r="C147" s="9">
        <v>9.6579999999999995</v>
      </c>
      <c r="D147" s="9">
        <v>10.629</v>
      </c>
      <c r="E147" s="19"/>
      <c r="F147" s="19"/>
      <c r="G147" s="20" t="s">
        <v>22</v>
      </c>
      <c r="H147" s="12"/>
      <c r="I147" s="13">
        <v>6000</v>
      </c>
      <c r="J147" s="11"/>
      <c r="K147" s="14">
        <f t="shared" si="29"/>
        <v>-63774</v>
      </c>
      <c r="L147" s="15"/>
      <c r="M147" s="15"/>
      <c r="N147" s="16">
        <f t="shared" si="24"/>
        <v>0</v>
      </c>
      <c r="O147" s="17">
        <f t="shared" si="28"/>
        <v>0</v>
      </c>
      <c r="P147" s="18">
        <f t="shared" si="25"/>
        <v>63774</v>
      </c>
    </row>
    <row r="148" spans="1:16" x14ac:dyDescent="0.3">
      <c r="A148" s="7">
        <v>45329</v>
      </c>
      <c r="B148" s="8" t="s">
        <v>16</v>
      </c>
      <c r="C148" s="9">
        <v>9.6579999999999995</v>
      </c>
      <c r="D148" s="9">
        <v>10.629</v>
      </c>
      <c r="E148" s="19"/>
      <c r="F148" s="19"/>
      <c r="G148" s="20" t="s">
        <v>33</v>
      </c>
      <c r="H148" s="12">
        <v>14000</v>
      </c>
      <c r="I148" s="13">
        <v>3000</v>
      </c>
      <c r="J148" s="11"/>
      <c r="K148" s="14">
        <f t="shared" si="29"/>
        <v>2155.5454545454413</v>
      </c>
      <c r="L148" s="15">
        <v>10.68</v>
      </c>
      <c r="M148" s="15">
        <v>12.22</v>
      </c>
      <c r="N148" s="16">
        <f t="shared" si="24"/>
        <v>186180</v>
      </c>
      <c r="O148" s="17">
        <f t="shared" si="28"/>
        <v>169254.54545454544</v>
      </c>
      <c r="P148" s="18">
        <f t="shared" si="25"/>
        <v>167099</v>
      </c>
    </row>
    <row r="149" spans="1:16" x14ac:dyDescent="0.3">
      <c r="A149" s="7">
        <v>45329</v>
      </c>
      <c r="B149" s="8" t="s">
        <v>16</v>
      </c>
      <c r="C149" s="9">
        <v>9.6579999999999995</v>
      </c>
      <c r="D149" s="9">
        <v>10.629</v>
      </c>
      <c r="E149" s="19"/>
      <c r="F149" s="19"/>
      <c r="G149" s="20" t="s">
        <v>33</v>
      </c>
      <c r="H149" s="12">
        <v>30000</v>
      </c>
      <c r="I149" s="13"/>
      <c r="J149" s="11"/>
      <c r="K149" s="14">
        <f t="shared" si="29"/>
        <v>1532.7272727272357</v>
      </c>
      <c r="L149" s="15">
        <v>10.68</v>
      </c>
      <c r="M149" s="15">
        <v>12.22</v>
      </c>
      <c r="N149" s="16">
        <f t="shared" si="24"/>
        <v>320400</v>
      </c>
      <c r="O149" s="17">
        <f t="shared" si="28"/>
        <v>291272.72727272724</v>
      </c>
      <c r="P149" s="18">
        <f t="shared" si="25"/>
        <v>289740</v>
      </c>
    </row>
    <row r="150" spans="1:16" x14ac:dyDescent="0.3">
      <c r="A150" s="7">
        <v>45328</v>
      </c>
      <c r="B150" s="8" t="s">
        <v>16</v>
      </c>
      <c r="C150" s="9">
        <v>9.6579999999999995</v>
      </c>
      <c r="D150" s="9">
        <v>10.629</v>
      </c>
      <c r="E150" s="19"/>
      <c r="F150" s="19"/>
      <c r="G150" s="20" t="s">
        <v>32</v>
      </c>
      <c r="H150" s="12">
        <v>17000</v>
      </c>
      <c r="I150" s="13">
        <v>15000</v>
      </c>
      <c r="J150" s="11"/>
      <c r="K150" s="14">
        <f t="shared" si="29"/>
        <v>12569.909090909059</v>
      </c>
      <c r="L150" s="15">
        <v>10.83</v>
      </c>
      <c r="M150" s="15">
        <v>12.38</v>
      </c>
      <c r="N150" s="16">
        <f t="shared" si="24"/>
        <v>369810</v>
      </c>
      <c r="O150" s="17">
        <f t="shared" si="28"/>
        <v>336190.90909090906</v>
      </c>
      <c r="P150" s="18">
        <f t="shared" si="25"/>
        <v>323621</v>
      </c>
    </row>
    <row r="151" spans="1:16" x14ac:dyDescent="0.3">
      <c r="A151" s="7">
        <v>45328</v>
      </c>
      <c r="B151" s="8" t="s">
        <v>16</v>
      </c>
      <c r="C151" s="9">
        <v>9.6579999999999995</v>
      </c>
      <c r="D151" s="9">
        <v>10.629</v>
      </c>
      <c r="E151" s="21"/>
      <c r="F151" s="21"/>
      <c r="G151" s="11" t="s">
        <v>32</v>
      </c>
      <c r="H151" s="12">
        <v>28000</v>
      </c>
      <c r="I151" s="13">
        <v>5000</v>
      </c>
      <c r="J151" s="11"/>
      <c r="K151" s="14">
        <f t="shared" si="29"/>
        <v>8376.4545454545296</v>
      </c>
      <c r="L151" s="15">
        <v>10.83</v>
      </c>
      <c r="M151" s="15">
        <v>12.38</v>
      </c>
      <c r="N151" s="16">
        <f t="shared" si="24"/>
        <v>365140</v>
      </c>
      <c r="O151" s="17">
        <f t="shared" si="28"/>
        <v>331945.45454545453</v>
      </c>
      <c r="P151" s="18">
        <f t="shared" si="25"/>
        <v>323569</v>
      </c>
    </row>
    <row r="152" spans="1:16" x14ac:dyDescent="0.3">
      <c r="A152" s="7">
        <v>45329</v>
      </c>
      <c r="B152" s="8" t="s">
        <v>16</v>
      </c>
      <c r="C152" s="9">
        <v>9.6579999999999995</v>
      </c>
      <c r="D152" s="9">
        <v>10.629</v>
      </c>
      <c r="E152" s="12">
        <v>28000</v>
      </c>
      <c r="F152" s="12">
        <v>5000</v>
      </c>
      <c r="G152" s="20" t="s">
        <v>33</v>
      </c>
      <c r="H152" s="12">
        <v>28000</v>
      </c>
      <c r="I152" s="13">
        <v>5000</v>
      </c>
      <c r="J152" s="11"/>
      <c r="K152" s="14">
        <f t="shared" si="29"/>
        <v>3831</v>
      </c>
      <c r="L152" s="15">
        <v>10.68</v>
      </c>
      <c r="M152" s="15">
        <v>12.22</v>
      </c>
      <c r="N152" s="16">
        <f t="shared" si="24"/>
        <v>360140</v>
      </c>
      <c r="O152" s="17">
        <f t="shared" si="28"/>
        <v>327400</v>
      </c>
      <c r="P152" s="18">
        <f t="shared" si="25"/>
        <v>323569</v>
      </c>
    </row>
    <row r="153" spans="1:16" x14ac:dyDescent="0.3">
      <c r="A153" s="7">
        <v>45329</v>
      </c>
      <c r="B153" s="8" t="s">
        <v>16</v>
      </c>
      <c r="C153" s="9">
        <v>9.6579999999999995</v>
      </c>
      <c r="D153" s="9">
        <v>10.629</v>
      </c>
      <c r="E153" s="10">
        <v>181000</v>
      </c>
      <c r="F153" s="10">
        <v>13000</v>
      </c>
      <c r="G153" s="20" t="s">
        <v>33</v>
      </c>
      <c r="H153" s="12">
        <v>26000</v>
      </c>
      <c r="I153" s="13">
        <v>7000</v>
      </c>
      <c r="J153" s="11"/>
      <c r="K153" s="14">
        <f t="shared" si="29"/>
        <v>4689</v>
      </c>
      <c r="L153" s="15">
        <v>10.68</v>
      </c>
      <c r="M153" s="15">
        <v>12.22</v>
      </c>
      <c r="N153" s="16">
        <f t="shared" si="24"/>
        <v>363220</v>
      </c>
      <c r="O153" s="17">
        <f t="shared" si="28"/>
        <v>330200</v>
      </c>
      <c r="P153" s="18">
        <f t="shared" si="25"/>
        <v>325511</v>
      </c>
    </row>
    <row r="154" spans="1:16" x14ac:dyDescent="0.3">
      <c r="A154" s="7">
        <v>45329</v>
      </c>
      <c r="B154" s="8" t="s">
        <v>16</v>
      </c>
      <c r="C154" s="9">
        <v>9.6579999999999995</v>
      </c>
      <c r="D154" s="9">
        <v>10.629</v>
      </c>
      <c r="E154" s="19"/>
      <c r="F154" s="19"/>
      <c r="G154" s="20" t="s">
        <v>33</v>
      </c>
      <c r="H154" s="12">
        <v>33000</v>
      </c>
      <c r="I154" s="12"/>
      <c r="J154" s="11"/>
      <c r="K154" s="14">
        <f t="shared" si="29"/>
        <v>1686</v>
      </c>
      <c r="L154" s="15">
        <v>10.68</v>
      </c>
      <c r="M154" s="15">
        <v>12.22</v>
      </c>
      <c r="N154" s="16">
        <f t="shared" si="24"/>
        <v>352440</v>
      </c>
      <c r="O154" s="17">
        <f t="shared" si="28"/>
        <v>320400</v>
      </c>
      <c r="P154" s="18">
        <f t="shared" si="25"/>
        <v>318714</v>
      </c>
    </row>
    <row r="155" spans="1:16" x14ac:dyDescent="0.3">
      <c r="A155" s="7">
        <v>45329</v>
      </c>
      <c r="B155" s="8" t="s">
        <v>16</v>
      </c>
      <c r="C155" s="9">
        <v>9.6579999999999995</v>
      </c>
      <c r="D155" s="9">
        <v>10.629</v>
      </c>
      <c r="E155" s="19"/>
      <c r="F155" s="19"/>
      <c r="G155" s="20" t="s">
        <v>33</v>
      </c>
      <c r="H155" s="12">
        <v>33000</v>
      </c>
      <c r="I155" s="12"/>
      <c r="J155" s="11"/>
      <c r="K155" s="14">
        <f t="shared" si="29"/>
        <v>1686</v>
      </c>
      <c r="L155" s="15">
        <v>10.68</v>
      </c>
      <c r="M155" s="15">
        <v>12.22</v>
      </c>
      <c r="N155" s="16">
        <f t="shared" si="24"/>
        <v>352440</v>
      </c>
      <c r="O155" s="17">
        <f t="shared" si="28"/>
        <v>320400</v>
      </c>
      <c r="P155" s="18">
        <f t="shared" si="25"/>
        <v>318714</v>
      </c>
    </row>
    <row r="156" spans="1:16" x14ac:dyDescent="0.3">
      <c r="A156" s="7">
        <v>45329</v>
      </c>
      <c r="B156" s="8" t="s">
        <v>16</v>
      </c>
      <c r="C156" s="9">
        <v>9.6579999999999995</v>
      </c>
      <c r="D156" s="9">
        <v>10.629</v>
      </c>
      <c r="E156" s="19"/>
      <c r="F156" s="19"/>
      <c r="G156" s="20" t="s">
        <v>33</v>
      </c>
      <c r="H156" s="12">
        <v>15000</v>
      </c>
      <c r="I156" s="13"/>
      <c r="J156" s="11"/>
      <c r="K156" s="14">
        <f t="shared" si="29"/>
        <v>766.36363636361784</v>
      </c>
      <c r="L156" s="15">
        <v>10.68</v>
      </c>
      <c r="M156" s="15">
        <v>12.22</v>
      </c>
      <c r="N156" s="16">
        <f t="shared" si="24"/>
        <v>160200</v>
      </c>
      <c r="O156" s="17">
        <f t="shared" si="28"/>
        <v>145636.36363636362</v>
      </c>
      <c r="P156" s="18">
        <f t="shared" si="25"/>
        <v>144870</v>
      </c>
    </row>
    <row r="157" spans="1:16" x14ac:dyDescent="0.3">
      <c r="A157" s="7">
        <v>45329</v>
      </c>
      <c r="B157" s="8" t="s">
        <v>16</v>
      </c>
      <c r="C157" s="9">
        <v>9.6579999999999995</v>
      </c>
      <c r="D157" s="9">
        <v>10.629</v>
      </c>
      <c r="E157" s="19"/>
      <c r="F157" s="19"/>
      <c r="G157" s="20" t="s">
        <v>33</v>
      </c>
      <c r="H157" s="12">
        <v>30000</v>
      </c>
      <c r="I157" s="13">
        <v>3000</v>
      </c>
      <c r="J157" s="11"/>
      <c r="K157" s="14">
        <f t="shared" si="29"/>
        <v>2973</v>
      </c>
      <c r="L157" s="15">
        <v>10.68</v>
      </c>
      <c r="M157" s="15">
        <v>12.22</v>
      </c>
      <c r="N157" s="16">
        <f t="shared" si="24"/>
        <v>357060</v>
      </c>
      <c r="O157" s="17">
        <f t="shared" si="28"/>
        <v>324600</v>
      </c>
      <c r="P157" s="18">
        <f t="shared" si="25"/>
        <v>321627</v>
      </c>
    </row>
    <row r="158" spans="1:16" x14ac:dyDescent="0.3">
      <c r="A158" s="7">
        <v>45329</v>
      </c>
      <c r="B158" s="8" t="s">
        <v>16</v>
      </c>
      <c r="C158" s="9">
        <v>9.6579999999999995</v>
      </c>
      <c r="D158" s="9">
        <v>10.629</v>
      </c>
      <c r="E158" s="19"/>
      <c r="F158" s="19"/>
      <c r="G158" s="20" t="s">
        <v>33</v>
      </c>
      <c r="H158" s="12">
        <v>30000</v>
      </c>
      <c r="I158" s="13">
        <v>3000</v>
      </c>
      <c r="J158" s="11"/>
      <c r="K158" s="14">
        <f t="shared" si="29"/>
        <v>2973</v>
      </c>
      <c r="L158" s="15">
        <v>10.68</v>
      </c>
      <c r="M158" s="15">
        <v>12.22</v>
      </c>
      <c r="N158" s="16">
        <f t="shared" si="24"/>
        <v>357060</v>
      </c>
      <c r="O158" s="17">
        <f t="shared" si="28"/>
        <v>324600</v>
      </c>
      <c r="P158" s="18">
        <f t="shared" si="25"/>
        <v>321627</v>
      </c>
    </row>
    <row r="159" spans="1:16" x14ac:dyDescent="0.3">
      <c r="A159" s="7">
        <v>45329</v>
      </c>
      <c r="B159" s="8" t="s">
        <v>16</v>
      </c>
      <c r="C159" s="9">
        <v>9.6579999999999995</v>
      </c>
      <c r="D159" s="9">
        <v>10.629</v>
      </c>
      <c r="E159" s="21"/>
      <c r="F159" s="21"/>
      <c r="G159" s="20" t="s">
        <v>18</v>
      </c>
      <c r="H159" s="12">
        <v>14000</v>
      </c>
      <c r="I159" s="13"/>
      <c r="J159" s="11"/>
      <c r="K159" s="14">
        <f t="shared" si="29"/>
        <v>715.27272727270611</v>
      </c>
      <c r="L159" s="15">
        <v>10.68</v>
      </c>
      <c r="M159" s="15"/>
      <c r="N159" s="16">
        <f t="shared" si="24"/>
        <v>149520</v>
      </c>
      <c r="O159" s="17">
        <f t="shared" si="28"/>
        <v>135927.27272727271</v>
      </c>
      <c r="P159" s="18">
        <f t="shared" si="25"/>
        <v>135212</v>
      </c>
    </row>
    <row r="160" spans="1:16" x14ac:dyDescent="0.3">
      <c r="A160" s="7">
        <v>45331</v>
      </c>
      <c r="B160" s="8" t="s">
        <v>16</v>
      </c>
      <c r="C160" s="9">
        <v>9.6579999999999995</v>
      </c>
      <c r="D160" s="9">
        <v>10.629</v>
      </c>
      <c r="E160" s="10">
        <v>158000</v>
      </c>
      <c r="F160" s="10">
        <v>18000</v>
      </c>
      <c r="G160" s="20" t="s">
        <v>27</v>
      </c>
      <c r="H160" s="12">
        <v>10000</v>
      </c>
      <c r="I160" s="13">
        <v>4000</v>
      </c>
      <c r="J160" s="11"/>
      <c r="K160" s="14">
        <f t="shared" si="29"/>
        <v>20704</v>
      </c>
      <c r="L160" s="15">
        <v>12.05</v>
      </c>
      <c r="M160" s="15">
        <v>13.82</v>
      </c>
      <c r="N160" s="16">
        <f t="shared" si="24"/>
        <v>175780</v>
      </c>
      <c r="O160" s="17">
        <f t="shared" si="28"/>
        <v>159800</v>
      </c>
      <c r="P160" s="18">
        <f t="shared" si="25"/>
        <v>139096</v>
      </c>
    </row>
    <row r="161" spans="1:16" hidden="1" x14ac:dyDescent="0.3">
      <c r="A161" s="7">
        <v>45331</v>
      </c>
      <c r="B161" s="8" t="s">
        <v>16</v>
      </c>
      <c r="C161" s="9">
        <v>9.6579999999999995</v>
      </c>
      <c r="D161" s="9">
        <v>10.629</v>
      </c>
      <c r="E161" s="19"/>
      <c r="F161" s="19"/>
      <c r="G161" s="20" t="s">
        <v>22</v>
      </c>
      <c r="H161" s="12"/>
      <c r="I161" s="13">
        <v>3000</v>
      </c>
      <c r="J161" s="11"/>
      <c r="K161" s="14"/>
      <c r="L161" s="15"/>
      <c r="M161" s="15"/>
      <c r="N161" s="16"/>
      <c r="O161" s="17"/>
      <c r="P161" s="18"/>
    </row>
    <row r="162" spans="1:16" x14ac:dyDescent="0.3">
      <c r="A162" s="7">
        <v>45330</v>
      </c>
      <c r="B162" s="8" t="s">
        <v>16</v>
      </c>
      <c r="C162" s="9">
        <v>9.6579999999999995</v>
      </c>
      <c r="D162" s="9">
        <v>10.629</v>
      </c>
      <c r="E162" s="19"/>
      <c r="F162" s="19"/>
      <c r="G162" s="11" t="s">
        <v>26</v>
      </c>
      <c r="H162" s="12">
        <v>29000</v>
      </c>
      <c r="I162" s="13">
        <v>4000</v>
      </c>
      <c r="J162" s="11"/>
      <c r="K162" s="14">
        <f t="shared" si="29"/>
        <v>60074.727272727236</v>
      </c>
      <c r="L162" s="15">
        <v>12.58</v>
      </c>
      <c r="M162" s="15">
        <v>14.03</v>
      </c>
      <c r="N162" s="16">
        <f t="shared" si="24"/>
        <v>420940</v>
      </c>
      <c r="O162" s="17">
        <f t="shared" si="28"/>
        <v>382672.72727272724</v>
      </c>
      <c r="P162" s="18">
        <f t="shared" si="25"/>
        <v>322598</v>
      </c>
    </row>
    <row r="163" spans="1:16" x14ac:dyDescent="0.3">
      <c r="A163" s="7">
        <v>45330</v>
      </c>
      <c r="B163" s="8" t="s">
        <v>16</v>
      </c>
      <c r="C163" s="9">
        <v>9.6579999999999995</v>
      </c>
      <c r="D163" s="9">
        <v>10.629</v>
      </c>
      <c r="E163" s="19"/>
      <c r="F163" s="19"/>
      <c r="G163" s="11" t="s">
        <v>33</v>
      </c>
      <c r="H163" s="12">
        <v>15000</v>
      </c>
      <c r="I163" s="13"/>
      <c r="J163" s="11"/>
      <c r="K163" s="14">
        <f t="shared" si="29"/>
        <v>766.36363636361784</v>
      </c>
      <c r="L163" s="15">
        <v>10.68</v>
      </c>
      <c r="M163" s="15">
        <v>12.22</v>
      </c>
      <c r="N163" s="16">
        <f t="shared" si="24"/>
        <v>160200</v>
      </c>
      <c r="O163" s="17">
        <f t="shared" si="28"/>
        <v>145636.36363636362</v>
      </c>
      <c r="P163" s="18">
        <f t="shared" si="25"/>
        <v>144870</v>
      </c>
    </row>
    <row r="164" spans="1:16" x14ac:dyDescent="0.3">
      <c r="A164" s="7">
        <v>45330</v>
      </c>
      <c r="B164" s="8" t="s">
        <v>16</v>
      </c>
      <c r="C164" s="9">
        <v>9.6579999999999995</v>
      </c>
      <c r="D164" s="9">
        <v>10.629</v>
      </c>
      <c r="E164" s="19"/>
      <c r="F164" s="19"/>
      <c r="G164" s="11" t="s">
        <v>33</v>
      </c>
      <c r="H164" s="12">
        <v>29000</v>
      </c>
      <c r="I164" s="13">
        <v>4000</v>
      </c>
      <c r="J164" s="11"/>
      <c r="K164" s="14">
        <f t="shared" si="29"/>
        <v>3402</v>
      </c>
      <c r="L164" s="15">
        <v>10.68</v>
      </c>
      <c r="M164" s="15">
        <v>12.22</v>
      </c>
      <c r="N164" s="16">
        <f t="shared" si="24"/>
        <v>358600</v>
      </c>
      <c r="O164" s="17">
        <f t="shared" si="28"/>
        <v>326000</v>
      </c>
      <c r="P164" s="18">
        <f t="shared" si="25"/>
        <v>322598</v>
      </c>
    </row>
    <row r="165" spans="1:16" x14ac:dyDescent="0.3">
      <c r="A165" s="7">
        <v>45330</v>
      </c>
      <c r="B165" s="8" t="s">
        <v>16</v>
      </c>
      <c r="C165" s="9">
        <v>9.6579999999999995</v>
      </c>
      <c r="D165" s="9">
        <v>10.629</v>
      </c>
      <c r="E165" s="19"/>
      <c r="F165" s="19"/>
      <c r="G165" s="11" t="s">
        <v>33</v>
      </c>
      <c r="H165" s="12">
        <v>30000</v>
      </c>
      <c r="I165" s="13">
        <v>3000</v>
      </c>
      <c r="J165" s="11"/>
      <c r="K165" s="14">
        <f t="shared" si="29"/>
        <v>2973</v>
      </c>
      <c r="L165" s="15">
        <v>10.68</v>
      </c>
      <c r="M165" s="15">
        <v>12.22</v>
      </c>
      <c r="N165" s="16">
        <f t="shared" si="24"/>
        <v>357060</v>
      </c>
      <c r="O165" s="17">
        <f t="shared" si="28"/>
        <v>324600</v>
      </c>
      <c r="P165" s="18">
        <f t="shared" si="25"/>
        <v>321627</v>
      </c>
    </row>
    <row r="166" spans="1:16" x14ac:dyDescent="0.3">
      <c r="A166" s="7">
        <v>45330</v>
      </c>
      <c r="B166" s="8" t="s">
        <v>16</v>
      </c>
      <c r="C166" s="9">
        <v>9.6579999999999995</v>
      </c>
      <c r="D166" s="9">
        <v>10.629</v>
      </c>
      <c r="E166" s="19"/>
      <c r="F166" s="19"/>
      <c r="G166" s="11" t="s">
        <v>33</v>
      </c>
      <c r="H166" s="12">
        <v>33000</v>
      </c>
      <c r="I166" s="13"/>
      <c r="J166" s="11"/>
      <c r="K166" s="14">
        <f t="shared" si="29"/>
        <v>1686</v>
      </c>
      <c r="L166" s="15">
        <v>10.68</v>
      </c>
      <c r="M166" s="15">
        <v>12.22</v>
      </c>
      <c r="N166" s="16">
        <f t="shared" si="24"/>
        <v>352440</v>
      </c>
      <c r="O166" s="17">
        <f t="shared" si="28"/>
        <v>320400</v>
      </c>
      <c r="P166" s="18">
        <f t="shared" si="25"/>
        <v>318714</v>
      </c>
    </row>
    <row r="167" spans="1:16" x14ac:dyDescent="0.3">
      <c r="A167" s="7">
        <v>45330</v>
      </c>
      <c r="B167" s="8" t="s">
        <v>16</v>
      </c>
      <c r="C167" s="9">
        <v>9.6579999999999995</v>
      </c>
      <c r="D167" s="9">
        <v>10.629</v>
      </c>
      <c r="E167" s="21"/>
      <c r="F167" s="21"/>
      <c r="G167" s="20" t="s">
        <v>18</v>
      </c>
      <c r="H167" s="12">
        <v>12000</v>
      </c>
      <c r="I167" s="13"/>
      <c r="J167" s="11"/>
      <c r="K167" s="14">
        <f t="shared" si="29"/>
        <v>613.09090909089718</v>
      </c>
      <c r="L167" s="15">
        <v>10.68</v>
      </c>
      <c r="M167" s="15">
        <v>12.22</v>
      </c>
      <c r="N167" s="16">
        <f t="shared" si="24"/>
        <v>128160</v>
      </c>
      <c r="O167" s="17">
        <f t="shared" si="28"/>
        <v>116509.0909090909</v>
      </c>
      <c r="P167" s="18">
        <f t="shared" si="25"/>
        <v>115896</v>
      </c>
    </row>
    <row r="168" spans="1:16" x14ac:dyDescent="0.3">
      <c r="A168" s="7">
        <v>45331</v>
      </c>
      <c r="B168" s="8" t="s">
        <v>16</v>
      </c>
      <c r="C168" s="9">
        <v>9.6579999999999995</v>
      </c>
      <c r="D168" s="9">
        <v>10.629</v>
      </c>
      <c r="E168" s="10">
        <v>44000</v>
      </c>
      <c r="F168" s="10">
        <v>3000</v>
      </c>
      <c r="G168" s="20" t="s">
        <v>18</v>
      </c>
      <c r="H168" s="12">
        <v>14000</v>
      </c>
      <c r="I168" s="13"/>
      <c r="J168" s="11"/>
      <c r="K168" s="14">
        <f t="shared" si="29"/>
        <v>460.72727272726479</v>
      </c>
      <c r="L168" s="15">
        <v>10.66</v>
      </c>
      <c r="M168" s="15"/>
      <c r="N168" s="16">
        <f t="shared" si="24"/>
        <v>149240</v>
      </c>
      <c r="O168" s="17">
        <f t="shared" si="28"/>
        <v>135672.72727272726</v>
      </c>
      <c r="P168" s="18">
        <f t="shared" si="25"/>
        <v>135212</v>
      </c>
    </row>
    <row r="169" spans="1:16" x14ac:dyDescent="0.3">
      <c r="A169" s="7">
        <v>45331</v>
      </c>
      <c r="B169" s="8" t="s">
        <v>16</v>
      </c>
      <c r="C169" s="9">
        <v>9.6579999999999995</v>
      </c>
      <c r="D169" s="9">
        <v>10.629</v>
      </c>
      <c r="E169" s="21"/>
      <c r="F169" s="21"/>
      <c r="G169" s="11" t="s">
        <v>33</v>
      </c>
      <c r="H169" s="12">
        <v>30000</v>
      </c>
      <c r="I169" s="13">
        <v>3000</v>
      </c>
      <c r="J169" s="11"/>
      <c r="K169" s="14">
        <f t="shared" si="29"/>
        <v>2373</v>
      </c>
      <c r="L169" s="15">
        <v>10.68</v>
      </c>
      <c r="M169" s="15">
        <v>12</v>
      </c>
      <c r="N169" s="16">
        <f t="shared" si="24"/>
        <v>356400</v>
      </c>
      <c r="O169" s="17">
        <f t="shared" si="28"/>
        <v>324000</v>
      </c>
      <c r="P169" s="18">
        <f t="shared" si="25"/>
        <v>321627</v>
      </c>
    </row>
    <row r="170" spans="1:16" x14ac:dyDescent="0.3">
      <c r="A170" s="7">
        <v>45331</v>
      </c>
      <c r="B170" s="8" t="s">
        <v>19</v>
      </c>
      <c r="C170" s="9">
        <v>9.6579999999999995</v>
      </c>
      <c r="D170" s="9">
        <v>10.629</v>
      </c>
      <c r="E170" s="12"/>
      <c r="F170" s="12">
        <v>2000</v>
      </c>
      <c r="G170" s="11" t="s">
        <v>33</v>
      </c>
      <c r="H170" s="12"/>
      <c r="I170" s="13">
        <v>2000</v>
      </c>
      <c r="J170" s="11"/>
      <c r="K170" s="14">
        <f t="shared" si="29"/>
        <v>560.1818181818162</v>
      </c>
      <c r="L170" s="15"/>
      <c r="M170" s="15">
        <v>12</v>
      </c>
      <c r="N170" s="16">
        <f t="shared" si="24"/>
        <v>24000</v>
      </c>
      <c r="O170" s="17">
        <f t="shared" si="28"/>
        <v>21818.181818181816</v>
      </c>
      <c r="P170" s="18">
        <f t="shared" si="25"/>
        <v>21258</v>
      </c>
    </row>
    <row r="171" spans="1:16" x14ac:dyDescent="0.3">
      <c r="A171" s="7">
        <v>45331</v>
      </c>
      <c r="B171" s="8" t="s">
        <v>16</v>
      </c>
      <c r="C171" s="9">
        <v>9.6579999999999995</v>
      </c>
      <c r="D171" s="9">
        <v>10.629</v>
      </c>
      <c r="E171" s="10">
        <v>20000</v>
      </c>
      <c r="F171" s="10">
        <v>13000</v>
      </c>
      <c r="G171" s="11" t="s">
        <v>28</v>
      </c>
      <c r="H171" s="12">
        <v>10000</v>
      </c>
      <c r="I171" s="13">
        <v>8000</v>
      </c>
      <c r="J171" s="11"/>
      <c r="K171" s="14">
        <f t="shared" si="29"/>
        <v>32387.999999999971</v>
      </c>
      <c r="L171" s="15">
        <v>12.38</v>
      </c>
      <c r="M171" s="15">
        <v>13.95</v>
      </c>
      <c r="N171" s="16">
        <f t="shared" si="24"/>
        <v>235400</v>
      </c>
      <c r="O171" s="17">
        <f t="shared" si="28"/>
        <v>213999.99999999997</v>
      </c>
      <c r="P171" s="18">
        <f t="shared" si="25"/>
        <v>181612</v>
      </c>
    </row>
    <row r="172" spans="1:16" x14ac:dyDescent="0.3">
      <c r="A172" s="7">
        <v>45331</v>
      </c>
      <c r="B172" s="8" t="s">
        <v>16</v>
      </c>
      <c r="C172" s="9">
        <v>9.6579999999999995</v>
      </c>
      <c r="D172" s="9">
        <v>10.629</v>
      </c>
      <c r="E172" s="21"/>
      <c r="F172" s="21"/>
      <c r="G172" s="11" t="s">
        <v>36</v>
      </c>
      <c r="H172" s="12">
        <v>10000</v>
      </c>
      <c r="I172" s="13">
        <v>5000</v>
      </c>
      <c r="J172" s="11"/>
      <c r="K172" s="14">
        <f t="shared" si="29"/>
        <v>24138.636363636353</v>
      </c>
      <c r="L172" s="15">
        <v>12.3</v>
      </c>
      <c r="M172" s="15">
        <v>13.65</v>
      </c>
      <c r="N172" s="16">
        <f t="shared" si="24"/>
        <v>191250</v>
      </c>
      <c r="O172" s="17">
        <f t="shared" si="28"/>
        <v>173863.63636363635</v>
      </c>
      <c r="P172" s="18">
        <f t="shared" si="25"/>
        <v>149725</v>
      </c>
    </row>
    <row r="173" spans="1:16" x14ac:dyDescent="0.3">
      <c r="A173" s="7">
        <v>45334</v>
      </c>
      <c r="B173" s="8" t="s">
        <v>16</v>
      </c>
      <c r="C173" s="9">
        <v>9.6579999999999995</v>
      </c>
      <c r="D173" s="9">
        <v>10.629</v>
      </c>
      <c r="E173" s="12">
        <v>14000</v>
      </c>
      <c r="F173" s="12"/>
      <c r="G173" s="20" t="s">
        <v>18</v>
      </c>
      <c r="H173" s="12">
        <v>14000</v>
      </c>
      <c r="I173" s="13"/>
      <c r="J173" s="11"/>
      <c r="K173" s="14">
        <f t="shared" si="29"/>
        <v>460.72727272726479</v>
      </c>
      <c r="L173" s="15">
        <v>10.66</v>
      </c>
      <c r="M173" s="15"/>
      <c r="N173" s="16">
        <f t="shared" si="24"/>
        <v>149240</v>
      </c>
      <c r="O173" s="17">
        <f t="shared" si="28"/>
        <v>135672.72727272726</v>
      </c>
      <c r="P173" s="18">
        <f t="shared" si="25"/>
        <v>135212</v>
      </c>
    </row>
    <row r="174" spans="1:16" x14ac:dyDescent="0.3">
      <c r="A174" s="7">
        <v>45334</v>
      </c>
      <c r="B174" s="8" t="s">
        <v>19</v>
      </c>
      <c r="C174" s="9">
        <v>9.6579999999999995</v>
      </c>
      <c r="D174" s="9">
        <v>10.629</v>
      </c>
      <c r="E174" s="12">
        <v>10000</v>
      </c>
      <c r="F174" s="12"/>
      <c r="G174" s="11" t="s">
        <v>30</v>
      </c>
      <c r="H174" s="12">
        <v>10000</v>
      </c>
      <c r="I174" s="13"/>
      <c r="J174" s="11"/>
      <c r="K174" s="14">
        <f t="shared" si="29"/>
        <v>15692.727272727265</v>
      </c>
      <c r="L174" s="15">
        <v>12.35</v>
      </c>
      <c r="M174" s="15"/>
      <c r="N174" s="16">
        <f t="shared" si="24"/>
        <v>123500</v>
      </c>
      <c r="O174" s="17">
        <f t="shared" si="28"/>
        <v>112272.72727272726</v>
      </c>
      <c r="P174" s="18">
        <f t="shared" si="25"/>
        <v>96580</v>
      </c>
    </row>
    <row r="175" spans="1:16" x14ac:dyDescent="0.3">
      <c r="A175" s="7">
        <v>45334</v>
      </c>
      <c r="B175" s="8" t="s">
        <v>16</v>
      </c>
      <c r="C175" s="9">
        <v>9.6579999999999995</v>
      </c>
      <c r="D175" s="9">
        <v>10.629</v>
      </c>
      <c r="E175" s="10">
        <v>79000</v>
      </c>
      <c r="F175" s="10">
        <v>34000</v>
      </c>
      <c r="G175" s="26" t="s">
        <v>21</v>
      </c>
      <c r="H175" s="12">
        <v>20000</v>
      </c>
      <c r="I175" s="13">
        <v>2000</v>
      </c>
      <c r="J175" s="11"/>
      <c r="K175" s="14">
        <f t="shared" si="29"/>
        <v>37181.999999999971</v>
      </c>
      <c r="L175" s="15">
        <v>12.44</v>
      </c>
      <c r="M175" s="15">
        <v>13.98</v>
      </c>
      <c r="N175" s="16">
        <f t="shared" si="24"/>
        <v>276760</v>
      </c>
      <c r="O175" s="17">
        <f t="shared" si="28"/>
        <v>251599.99999999997</v>
      </c>
      <c r="P175" s="18">
        <f t="shared" si="25"/>
        <v>214418</v>
      </c>
    </row>
    <row r="176" spans="1:16" x14ac:dyDescent="0.3">
      <c r="A176" s="7">
        <v>45334</v>
      </c>
      <c r="B176" s="8" t="s">
        <v>16</v>
      </c>
      <c r="C176" s="9">
        <v>9.6579999999999995</v>
      </c>
      <c r="D176" s="9">
        <v>10.629</v>
      </c>
      <c r="E176" s="19"/>
      <c r="F176" s="19"/>
      <c r="G176" s="11" t="s">
        <v>23</v>
      </c>
      <c r="H176" s="12">
        <v>6000</v>
      </c>
      <c r="I176" s="13">
        <v>5000</v>
      </c>
      <c r="J176" s="11"/>
      <c r="K176" s="14">
        <f t="shared" si="29"/>
        <v>19834.272727272721</v>
      </c>
      <c r="L176" s="15">
        <v>12.37</v>
      </c>
      <c r="M176" s="15">
        <v>13.96</v>
      </c>
      <c r="N176" s="16">
        <f t="shared" si="24"/>
        <v>144020</v>
      </c>
      <c r="O176" s="17">
        <f t="shared" si="28"/>
        <v>130927.27272727272</v>
      </c>
      <c r="P176" s="18">
        <f t="shared" si="25"/>
        <v>111093</v>
      </c>
    </row>
    <row r="177" spans="1:16" x14ac:dyDescent="0.3">
      <c r="A177" s="7">
        <v>45334</v>
      </c>
      <c r="B177" s="8" t="s">
        <v>16</v>
      </c>
      <c r="C177" s="9">
        <v>9.6579999999999995</v>
      </c>
      <c r="D177" s="9">
        <v>10.629</v>
      </c>
      <c r="E177" s="19"/>
      <c r="F177" s="19"/>
      <c r="G177" s="11" t="s">
        <v>33</v>
      </c>
      <c r="H177" s="12">
        <v>20000</v>
      </c>
      <c r="I177" s="13">
        <v>13000</v>
      </c>
      <c r="J177" s="11"/>
      <c r="K177" s="14">
        <f t="shared" si="29"/>
        <v>4663</v>
      </c>
      <c r="L177" s="15">
        <v>10.68</v>
      </c>
      <c r="M177" s="15">
        <v>12</v>
      </c>
      <c r="N177" s="16">
        <f t="shared" si="24"/>
        <v>369600</v>
      </c>
      <c r="O177" s="17">
        <f t="shared" si="28"/>
        <v>336000</v>
      </c>
      <c r="P177" s="18">
        <f t="shared" si="25"/>
        <v>331337</v>
      </c>
    </row>
    <row r="178" spans="1:16" x14ac:dyDescent="0.3">
      <c r="A178" s="7">
        <v>45334</v>
      </c>
      <c r="B178" s="8" t="s">
        <v>16</v>
      </c>
      <c r="C178" s="9">
        <v>9.6579999999999995</v>
      </c>
      <c r="D178" s="9">
        <v>10.629</v>
      </c>
      <c r="E178" s="19"/>
      <c r="F178" s="19"/>
      <c r="G178" s="26" t="s">
        <v>33</v>
      </c>
      <c r="H178" s="12">
        <v>33000</v>
      </c>
      <c r="I178" s="13"/>
      <c r="J178" s="11"/>
      <c r="K178" s="14">
        <f t="shared" si="29"/>
        <v>1686</v>
      </c>
      <c r="L178" s="15">
        <v>10.68</v>
      </c>
      <c r="M178" s="15">
        <v>12</v>
      </c>
      <c r="N178" s="16">
        <f t="shared" si="24"/>
        <v>352440</v>
      </c>
      <c r="O178" s="17">
        <f t="shared" si="28"/>
        <v>320400</v>
      </c>
      <c r="P178" s="18">
        <f t="shared" si="25"/>
        <v>318714</v>
      </c>
    </row>
    <row r="179" spans="1:16" x14ac:dyDescent="0.3">
      <c r="A179" s="7">
        <v>45334</v>
      </c>
      <c r="B179" s="8" t="s">
        <v>16</v>
      </c>
      <c r="C179" s="9">
        <v>9.6579999999999995</v>
      </c>
      <c r="D179" s="9">
        <v>10.629</v>
      </c>
      <c r="E179" s="21"/>
      <c r="F179" s="21"/>
      <c r="G179" s="20" t="s">
        <v>18</v>
      </c>
      <c r="H179" s="12"/>
      <c r="I179" s="13">
        <v>14000</v>
      </c>
      <c r="J179" s="11"/>
      <c r="K179" s="14">
        <f t="shared" si="29"/>
        <v>5830.3636363636178</v>
      </c>
      <c r="L179" s="15"/>
      <c r="M179" s="15">
        <v>12.15</v>
      </c>
      <c r="N179" s="16">
        <f t="shared" si="24"/>
        <v>170100</v>
      </c>
      <c r="O179" s="17">
        <f t="shared" si="28"/>
        <v>154636.36363636362</v>
      </c>
      <c r="P179" s="18">
        <f t="shared" si="25"/>
        <v>148806</v>
      </c>
    </row>
    <row r="180" spans="1:16" x14ac:dyDescent="0.3">
      <c r="A180" s="7">
        <v>45335</v>
      </c>
      <c r="B180" s="8" t="s">
        <v>16</v>
      </c>
      <c r="C180" s="9">
        <v>9.6579999999999995</v>
      </c>
      <c r="D180" s="9">
        <v>10.629</v>
      </c>
      <c r="E180" s="10">
        <v>31000</v>
      </c>
      <c r="F180" s="10">
        <v>62000</v>
      </c>
      <c r="G180" s="11" t="s">
        <v>33</v>
      </c>
      <c r="H180" s="12"/>
      <c r="I180" s="13">
        <v>33000</v>
      </c>
      <c r="J180" s="11"/>
      <c r="K180" s="14">
        <f t="shared" si="29"/>
        <v>9243</v>
      </c>
      <c r="L180" s="15">
        <v>10.68</v>
      </c>
      <c r="M180" s="15">
        <v>12</v>
      </c>
      <c r="N180" s="16">
        <f t="shared" si="24"/>
        <v>396000</v>
      </c>
      <c r="O180" s="17">
        <f t="shared" si="28"/>
        <v>360000</v>
      </c>
      <c r="P180" s="18">
        <f t="shared" si="25"/>
        <v>350757</v>
      </c>
    </row>
    <row r="181" spans="1:16" x14ac:dyDescent="0.3">
      <c r="A181" s="7">
        <v>45335</v>
      </c>
      <c r="B181" s="8" t="s">
        <v>16</v>
      </c>
      <c r="C181" s="9">
        <v>9.6579999999999995</v>
      </c>
      <c r="D181" s="9">
        <v>10.629</v>
      </c>
      <c r="E181" s="19"/>
      <c r="F181" s="19"/>
      <c r="G181" s="11" t="s">
        <v>33</v>
      </c>
      <c r="H181" s="12">
        <v>17000</v>
      </c>
      <c r="I181" s="13"/>
      <c r="J181" s="11"/>
      <c r="K181" s="14">
        <f t="shared" si="29"/>
        <v>868.54545454544132</v>
      </c>
      <c r="L181" s="15">
        <v>10.68</v>
      </c>
      <c r="M181" s="15">
        <v>12</v>
      </c>
      <c r="N181" s="16">
        <f t="shared" si="24"/>
        <v>181560</v>
      </c>
      <c r="O181" s="17">
        <f t="shared" si="28"/>
        <v>165054.54545454544</v>
      </c>
      <c r="P181" s="18">
        <f t="shared" si="25"/>
        <v>164186</v>
      </c>
    </row>
    <row r="182" spans="1:16" x14ac:dyDescent="0.3">
      <c r="A182" s="7">
        <v>45335</v>
      </c>
      <c r="B182" s="8" t="s">
        <v>16</v>
      </c>
      <c r="C182" s="9">
        <v>9.6579999999999995</v>
      </c>
      <c r="D182" s="9">
        <v>10.629</v>
      </c>
      <c r="E182" s="19"/>
      <c r="F182" s="19"/>
      <c r="G182" s="20" t="s">
        <v>18</v>
      </c>
      <c r="H182" s="12">
        <v>14000</v>
      </c>
      <c r="I182" s="13"/>
      <c r="J182" s="11"/>
      <c r="K182" s="14">
        <f t="shared" si="29"/>
        <v>460.72727272726479</v>
      </c>
      <c r="L182" s="15">
        <v>10.66</v>
      </c>
      <c r="M182" s="15"/>
      <c r="N182" s="16">
        <f t="shared" si="24"/>
        <v>149240</v>
      </c>
      <c r="O182" s="17">
        <f t="shared" si="28"/>
        <v>135672.72727272726</v>
      </c>
      <c r="P182" s="18">
        <f t="shared" si="25"/>
        <v>135212</v>
      </c>
    </row>
    <row r="183" spans="1:16" x14ac:dyDescent="0.3">
      <c r="A183" s="7">
        <v>45335</v>
      </c>
      <c r="B183" s="8" t="s">
        <v>16</v>
      </c>
      <c r="C183" s="9">
        <v>9.6579999999999995</v>
      </c>
      <c r="D183" s="9">
        <v>10.629</v>
      </c>
      <c r="E183" s="19"/>
      <c r="F183" s="19"/>
      <c r="G183" s="11" t="s">
        <v>37</v>
      </c>
      <c r="H183" s="12"/>
      <c r="I183" s="13">
        <v>15000</v>
      </c>
      <c r="J183" s="11"/>
      <c r="K183" s="14">
        <f>O183-P183</f>
        <v>2155.9090909090883</v>
      </c>
      <c r="L183" s="15"/>
      <c r="M183" s="15">
        <v>11.85</v>
      </c>
      <c r="N183" s="16">
        <f>(H183*L183+(I183*M183))</f>
        <v>177750</v>
      </c>
      <c r="O183" s="17">
        <f t="shared" si="28"/>
        <v>161590.90909090909</v>
      </c>
      <c r="P183" s="18">
        <f t="shared" si="25"/>
        <v>159435</v>
      </c>
    </row>
    <row r="184" spans="1:16" x14ac:dyDescent="0.3">
      <c r="A184" s="7">
        <v>45335</v>
      </c>
      <c r="B184" s="8" t="s">
        <v>16</v>
      </c>
      <c r="C184" s="9">
        <v>9.6579999999999995</v>
      </c>
      <c r="D184" s="9">
        <v>10.629</v>
      </c>
      <c r="E184" s="21"/>
      <c r="F184" s="21"/>
      <c r="G184" s="11" t="s">
        <v>34</v>
      </c>
      <c r="H184" s="12"/>
      <c r="I184" s="13">
        <v>14000</v>
      </c>
      <c r="J184" s="11"/>
      <c r="K184" s="14">
        <f>O184-P184</f>
        <v>5830.3636363636178</v>
      </c>
      <c r="L184" s="27"/>
      <c r="M184" s="15">
        <v>12.15</v>
      </c>
      <c r="N184" s="16">
        <f>(H184*L184+(I184*M184))</f>
        <v>170100</v>
      </c>
      <c r="O184" s="17">
        <f>N184/1.1</f>
        <v>154636.36363636362</v>
      </c>
      <c r="P184" s="18">
        <f>(C184*H184)+(I184*D184)</f>
        <v>148806</v>
      </c>
    </row>
    <row r="185" spans="1:16" x14ac:dyDescent="0.3">
      <c r="A185" s="7">
        <v>45336</v>
      </c>
      <c r="B185" s="8" t="s">
        <v>16</v>
      </c>
      <c r="C185" s="9">
        <v>9.6579999999999995</v>
      </c>
      <c r="D185" s="9">
        <v>10.629</v>
      </c>
      <c r="E185" s="10">
        <v>109000</v>
      </c>
      <c r="F185" s="10">
        <v>22000</v>
      </c>
      <c r="G185" s="11" t="s">
        <v>37</v>
      </c>
      <c r="H185" s="12"/>
      <c r="I185" s="13">
        <v>15000</v>
      </c>
      <c r="J185" s="11"/>
      <c r="K185" s="14">
        <f t="shared" si="29"/>
        <v>2155.9090909090883</v>
      </c>
      <c r="L185" s="15"/>
      <c r="M185" s="15">
        <v>11.85</v>
      </c>
      <c r="N185" s="16">
        <f t="shared" si="24"/>
        <v>177750</v>
      </c>
      <c r="O185" s="17">
        <f t="shared" si="28"/>
        <v>161590.90909090909</v>
      </c>
      <c r="P185" s="18">
        <f t="shared" si="25"/>
        <v>159435</v>
      </c>
    </row>
    <row r="186" spans="1:16" hidden="1" x14ac:dyDescent="0.3">
      <c r="A186" s="7">
        <v>45336</v>
      </c>
      <c r="B186" s="8" t="s">
        <v>16</v>
      </c>
      <c r="C186" s="9">
        <v>9.6579999999999995</v>
      </c>
      <c r="D186" s="9">
        <v>10.629</v>
      </c>
      <c r="E186" s="19"/>
      <c r="F186" s="19"/>
      <c r="G186" s="11" t="s">
        <v>22</v>
      </c>
      <c r="H186" s="12">
        <v>33000</v>
      </c>
      <c r="I186" s="13"/>
      <c r="J186" s="11"/>
      <c r="K186" s="14">
        <f t="shared" si="29"/>
        <v>-318714</v>
      </c>
      <c r="L186" s="15"/>
      <c r="M186" s="15"/>
      <c r="N186" s="16">
        <f t="shared" si="24"/>
        <v>0</v>
      </c>
      <c r="O186" s="17">
        <f t="shared" si="28"/>
        <v>0</v>
      </c>
      <c r="P186" s="18">
        <f t="shared" si="25"/>
        <v>318714</v>
      </c>
    </row>
    <row r="187" spans="1:16" x14ac:dyDescent="0.3">
      <c r="A187" s="7">
        <v>45336</v>
      </c>
      <c r="B187" s="8" t="s">
        <v>16</v>
      </c>
      <c r="C187" s="9">
        <v>9.6579999999999995</v>
      </c>
      <c r="D187" s="9">
        <v>10.629</v>
      </c>
      <c r="E187" s="19"/>
      <c r="F187" s="19"/>
      <c r="G187" s="11" t="s">
        <v>17</v>
      </c>
      <c r="H187" s="12">
        <v>33000</v>
      </c>
      <c r="I187" s="13"/>
      <c r="J187" s="11"/>
      <c r="K187" s="14">
        <f t="shared" si="29"/>
        <v>1686</v>
      </c>
      <c r="L187" s="15">
        <v>10.68</v>
      </c>
      <c r="M187" s="15">
        <v>12</v>
      </c>
      <c r="N187" s="16">
        <f t="shared" si="24"/>
        <v>352440</v>
      </c>
      <c r="O187" s="17">
        <f t="shared" si="28"/>
        <v>320400</v>
      </c>
      <c r="P187" s="18">
        <f t="shared" si="25"/>
        <v>318714</v>
      </c>
    </row>
    <row r="188" spans="1:16" x14ac:dyDescent="0.3">
      <c r="A188" s="7">
        <v>45336</v>
      </c>
      <c r="B188" s="8" t="s">
        <v>16</v>
      </c>
      <c r="C188" s="9">
        <v>9.6579999999999995</v>
      </c>
      <c r="D188" s="9">
        <v>10.629</v>
      </c>
      <c r="E188" s="19"/>
      <c r="F188" s="19"/>
      <c r="G188" s="11" t="s">
        <v>33</v>
      </c>
      <c r="H188" s="12">
        <v>26000</v>
      </c>
      <c r="I188" s="13">
        <v>7000</v>
      </c>
      <c r="J188" s="11"/>
      <c r="K188" s="14">
        <f t="shared" si="29"/>
        <v>3289</v>
      </c>
      <c r="L188" s="15">
        <v>10.68</v>
      </c>
      <c r="M188" s="15">
        <v>12</v>
      </c>
      <c r="N188" s="16">
        <f t="shared" si="24"/>
        <v>361680</v>
      </c>
      <c r="O188" s="17">
        <f t="shared" si="28"/>
        <v>328800</v>
      </c>
      <c r="P188" s="18">
        <f t="shared" si="25"/>
        <v>325511</v>
      </c>
    </row>
    <row r="189" spans="1:16" x14ac:dyDescent="0.3">
      <c r="A189" s="7">
        <v>45336</v>
      </c>
      <c r="B189" s="8" t="s">
        <v>16</v>
      </c>
      <c r="C189" s="9">
        <v>9.6579999999999995</v>
      </c>
      <c r="D189" s="9">
        <v>10.629</v>
      </c>
      <c r="E189" s="21"/>
      <c r="F189" s="21"/>
      <c r="G189" s="11" t="s">
        <v>33</v>
      </c>
      <c r="H189" s="12">
        <v>17000</v>
      </c>
      <c r="I189" s="13"/>
      <c r="J189" s="11"/>
      <c r="K189" s="14">
        <f t="shared" si="29"/>
        <v>868.54545454544132</v>
      </c>
      <c r="L189" s="15">
        <v>10.68</v>
      </c>
      <c r="M189" s="15">
        <v>12</v>
      </c>
      <c r="N189" s="16">
        <f t="shared" si="24"/>
        <v>181560</v>
      </c>
      <c r="O189" s="17">
        <f t="shared" si="28"/>
        <v>165054.54545454544</v>
      </c>
      <c r="P189" s="18">
        <f t="shared" si="25"/>
        <v>164186</v>
      </c>
    </row>
    <row r="190" spans="1:16" x14ac:dyDescent="0.3">
      <c r="A190" s="7">
        <v>45337</v>
      </c>
      <c r="B190" s="8" t="s">
        <v>16</v>
      </c>
      <c r="C190" s="9">
        <v>9.6579999999999995</v>
      </c>
      <c r="D190" s="9">
        <v>10.629</v>
      </c>
      <c r="E190" s="10">
        <v>148000</v>
      </c>
      <c r="F190" s="10">
        <v>26000</v>
      </c>
      <c r="G190" s="11" t="s">
        <v>32</v>
      </c>
      <c r="H190" s="12">
        <v>26000</v>
      </c>
      <c r="I190" s="13">
        <v>5000</v>
      </c>
      <c r="J190" s="11"/>
      <c r="K190" s="14">
        <f t="shared" si="29"/>
        <v>8001.5454545454122</v>
      </c>
      <c r="L190" s="15">
        <v>10.83</v>
      </c>
      <c r="M190" s="15">
        <v>12.38</v>
      </c>
      <c r="N190" s="16">
        <f t="shared" si="24"/>
        <v>343480</v>
      </c>
      <c r="O190" s="17">
        <f>N190/1.1</f>
        <v>312254.54545454541</v>
      </c>
      <c r="P190" s="18">
        <f t="shared" si="25"/>
        <v>304253</v>
      </c>
    </row>
    <row r="191" spans="1:16" x14ac:dyDescent="0.3">
      <c r="A191" s="7">
        <v>45337</v>
      </c>
      <c r="B191" s="8" t="s">
        <v>16</v>
      </c>
      <c r="C191" s="9">
        <v>9.6579999999999995</v>
      </c>
      <c r="D191" s="9">
        <v>10.629</v>
      </c>
      <c r="E191" s="19"/>
      <c r="F191" s="19"/>
      <c r="G191" s="11" t="s">
        <v>37</v>
      </c>
      <c r="H191" s="12"/>
      <c r="I191" s="13">
        <v>15000</v>
      </c>
      <c r="J191" s="11"/>
      <c r="K191" s="14">
        <f t="shared" si="29"/>
        <v>2155.9090909090883</v>
      </c>
      <c r="L191" s="15"/>
      <c r="M191" s="15">
        <v>11.85</v>
      </c>
      <c r="N191" s="16">
        <f t="shared" si="24"/>
        <v>177750</v>
      </c>
      <c r="O191" s="17">
        <f t="shared" si="28"/>
        <v>161590.90909090909</v>
      </c>
      <c r="P191" s="18">
        <f t="shared" si="25"/>
        <v>159435</v>
      </c>
    </row>
    <row r="192" spans="1:16" x14ac:dyDescent="0.3">
      <c r="A192" s="7">
        <v>45337</v>
      </c>
      <c r="B192" s="8" t="s">
        <v>16</v>
      </c>
      <c r="C192" s="9">
        <v>9.6579999999999995</v>
      </c>
      <c r="D192" s="9">
        <v>10.629</v>
      </c>
      <c r="E192" s="19"/>
      <c r="F192" s="19"/>
      <c r="G192" s="11" t="s">
        <v>17</v>
      </c>
      <c r="H192" s="12">
        <v>33000</v>
      </c>
      <c r="I192" s="13"/>
      <c r="J192" s="11"/>
      <c r="K192" s="14">
        <f t="shared" si="29"/>
        <v>1686</v>
      </c>
      <c r="L192" s="15">
        <v>10.68</v>
      </c>
      <c r="M192" s="15">
        <v>12</v>
      </c>
      <c r="N192" s="16">
        <f t="shared" si="24"/>
        <v>352440</v>
      </c>
      <c r="O192" s="17">
        <f t="shared" si="28"/>
        <v>320400</v>
      </c>
      <c r="P192" s="18">
        <f t="shared" si="25"/>
        <v>318714</v>
      </c>
    </row>
    <row r="193" spans="1:16" x14ac:dyDescent="0.3">
      <c r="A193" s="7">
        <v>45337</v>
      </c>
      <c r="B193" s="8" t="s">
        <v>16</v>
      </c>
      <c r="C193" s="9">
        <v>9.6579999999999995</v>
      </c>
      <c r="D193" s="9">
        <v>10.629</v>
      </c>
      <c r="E193" s="19"/>
      <c r="F193" s="19"/>
      <c r="G193" s="11" t="s">
        <v>33</v>
      </c>
      <c r="H193" s="12">
        <v>17000</v>
      </c>
      <c r="I193" s="13"/>
      <c r="J193" s="11"/>
      <c r="K193" s="14">
        <f t="shared" si="29"/>
        <v>868.54545454544132</v>
      </c>
      <c r="L193" s="15">
        <v>10.68</v>
      </c>
      <c r="M193" s="15">
        <v>12</v>
      </c>
      <c r="N193" s="16">
        <f t="shared" si="24"/>
        <v>181560</v>
      </c>
      <c r="O193" s="17">
        <f t="shared" si="28"/>
        <v>165054.54545454544</v>
      </c>
      <c r="P193" s="18">
        <f t="shared" si="25"/>
        <v>164186</v>
      </c>
    </row>
    <row r="194" spans="1:16" x14ac:dyDescent="0.3">
      <c r="A194" s="7">
        <v>45337</v>
      </c>
      <c r="B194" s="8" t="s">
        <v>16</v>
      </c>
      <c r="C194" s="9">
        <v>9.6579999999999995</v>
      </c>
      <c r="D194" s="9">
        <v>10.629</v>
      </c>
      <c r="E194" s="19"/>
      <c r="F194" s="19"/>
      <c r="G194" s="11" t="s">
        <v>31</v>
      </c>
      <c r="H194" s="12">
        <v>20000</v>
      </c>
      <c r="I194" s="13"/>
      <c r="J194" s="11"/>
      <c r="K194" s="29">
        <f>O194-P194</f>
        <v>26839.999999999971</v>
      </c>
      <c r="L194" s="15">
        <v>12.1</v>
      </c>
      <c r="M194" s="15"/>
      <c r="N194" s="16">
        <f t="shared" ref="N194:N257" si="30">(H194*L194)+(I194*M194)</f>
        <v>242000</v>
      </c>
      <c r="O194" s="17">
        <f t="shared" si="28"/>
        <v>219999.99999999997</v>
      </c>
      <c r="P194" s="18">
        <f t="shared" ref="P194:P257" si="31">(C194*H194)+(I194*D194)</f>
        <v>193160</v>
      </c>
    </row>
    <row r="195" spans="1:16" x14ac:dyDescent="0.3">
      <c r="A195" s="7">
        <v>45337</v>
      </c>
      <c r="B195" s="8" t="s">
        <v>16</v>
      </c>
      <c r="C195" s="9">
        <v>9.6579999999999995</v>
      </c>
      <c r="D195" s="9">
        <v>10.629</v>
      </c>
      <c r="E195" s="19"/>
      <c r="F195" s="19"/>
      <c r="G195" s="11" t="s">
        <v>27</v>
      </c>
      <c r="H195" s="12">
        <v>13000</v>
      </c>
      <c r="I195" s="13"/>
      <c r="J195" s="11"/>
      <c r="K195" s="14">
        <f t="shared" si="29"/>
        <v>16855.090909090912</v>
      </c>
      <c r="L195" s="15">
        <v>12.05</v>
      </c>
      <c r="M195" s="15">
        <v>13.82</v>
      </c>
      <c r="N195" s="16">
        <f t="shared" si="30"/>
        <v>156650</v>
      </c>
      <c r="O195" s="17">
        <f>N195/1.1</f>
        <v>142409.09090909091</v>
      </c>
      <c r="P195" s="18">
        <f t="shared" si="31"/>
        <v>125554</v>
      </c>
    </row>
    <row r="196" spans="1:16" hidden="1" x14ac:dyDescent="0.3">
      <c r="A196" s="7">
        <v>45337</v>
      </c>
      <c r="B196" s="8" t="s">
        <v>16</v>
      </c>
      <c r="C196" s="9">
        <v>9.6579999999999995</v>
      </c>
      <c r="D196" s="9">
        <v>10.629</v>
      </c>
      <c r="E196" s="19"/>
      <c r="F196" s="19"/>
      <c r="G196" s="11" t="s">
        <v>22</v>
      </c>
      <c r="H196" s="12">
        <v>6000</v>
      </c>
      <c r="I196" s="13">
        <v>6000</v>
      </c>
      <c r="J196" s="11"/>
      <c r="K196" s="14">
        <f>O196-P196</f>
        <v>-121722</v>
      </c>
      <c r="L196" s="15"/>
      <c r="M196" s="15"/>
      <c r="N196" s="16">
        <f t="shared" si="30"/>
        <v>0</v>
      </c>
      <c r="O196" s="17">
        <f>N196/1.1</f>
        <v>0</v>
      </c>
      <c r="P196" s="18">
        <f t="shared" si="31"/>
        <v>121722</v>
      </c>
    </row>
    <row r="197" spans="1:16" x14ac:dyDescent="0.3">
      <c r="A197" s="7">
        <v>45337</v>
      </c>
      <c r="B197" s="8" t="s">
        <v>16</v>
      </c>
      <c r="C197" s="9">
        <v>9.6579999999999995</v>
      </c>
      <c r="D197" s="9">
        <v>10.629</v>
      </c>
      <c r="E197" s="21"/>
      <c r="F197" s="21"/>
      <c r="G197" s="11" t="s">
        <v>33</v>
      </c>
      <c r="H197" s="12">
        <v>33000</v>
      </c>
      <c r="I197" s="13"/>
      <c r="J197" s="11"/>
      <c r="K197" s="14">
        <f t="shared" si="29"/>
        <v>1686</v>
      </c>
      <c r="L197" s="15">
        <v>10.68</v>
      </c>
      <c r="M197" s="15"/>
      <c r="N197" s="16">
        <f t="shared" si="30"/>
        <v>352440</v>
      </c>
      <c r="O197" s="17">
        <f t="shared" ref="O197:O248" si="32">N197/1.1</f>
        <v>320400</v>
      </c>
      <c r="P197" s="18">
        <f t="shared" si="31"/>
        <v>318714</v>
      </c>
    </row>
    <row r="198" spans="1:16" x14ac:dyDescent="0.3">
      <c r="A198" s="7">
        <v>45338</v>
      </c>
      <c r="B198" s="28" t="s">
        <v>16</v>
      </c>
      <c r="C198" s="9">
        <v>9.9809999999999999</v>
      </c>
      <c r="D198" s="9">
        <v>10.933</v>
      </c>
      <c r="E198" s="12"/>
      <c r="F198" s="12">
        <v>33000</v>
      </c>
      <c r="G198" s="20" t="s">
        <v>38</v>
      </c>
      <c r="H198" s="12"/>
      <c r="I198" s="13">
        <v>33000</v>
      </c>
      <c r="J198" s="11"/>
      <c r="K198" s="14">
        <f t="shared" si="29"/>
        <v>5210.9999999999418</v>
      </c>
      <c r="L198" s="15"/>
      <c r="M198" s="15">
        <v>12.2</v>
      </c>
      <c r="N198" s="16">
        <f t="shared" si="30"/>
        <v>402600</v>
      </c>
      <c r="O198" s="17">
        <f t="shared" si="32"/>
        <v>365999.99999999994</v>
      </c>
      <c r="P198" s="18">
        <f t="shared" si="31"/>
        <v>360789</v>
      </c>
    </row>
    <row r="199" spans="1:16" x14ac:dyDescent="0.3">
      <c r="A199" s="7">
        <v>45338</v>
      </c>
      <c r="B199" s="28" t="s">
        <v>19</v>
      </c>
      <c r="C199" s="9">
        <v>9.6579999999999995</v>
      </c>
      <c r="D199" s="9">
        <v>10.629</v>
      </c>
      <c r="E199" s="12">
        <v>3000</v>
      </c>
      <c r="F199" s="12"/>
      <c r="G199" s="11" t="s">
        <v>30</v>
      </c>
      <c r="H199" s="13">
        <v>3000</v>
      </c>
      <c r="I199" s="13"/>
      <c r="J199" s="11"/>
      <c r="K199" s="14">
        <f t="shared" si="29"/>
        <v>5171.4545454545441</v>
      </c>
      <c r="L199" s="15">
        <v>12.52</v>
      </c>
      <c r="M199" s="15"/>
      <c r="N199" s="16">
        <f t="shared" si="30"/>
        <v>37560</v>
      </c>
      <c r="O199" s="17">
        <f t="shared" si="32"/>
        <v>34145.454545454544</v>
      </c>
      <c r="P199" s="18">
        <f t="shared" si="31"/>
        <v>28974</v>
      </c>
    </row>
    <row r="200" spans="1:16" x14ac:dyDescent="0.3">
      <c r="A200" s="7">
        <v>45339</v>
      </c>
      <c r="B200" s="28" t="s">
        <v>19</v>
      </c>
      <c r="C200" s="9">
        <v>9.6579999999999995</v>
      </c>
      <c r="D200" s="9">
        <v>10.629</v>
      </c>
      <c r="E200" s="10">
        <v>11000</v>
      </c>
      <c r="F200" s="10">
        <v>6000</v>
      </c>
      <c r="G200" s="20" t="s">
        <v>25</v>
      </c>
      <c r="H200" s="13">
        <v>7000</v>
      </c>
      <c r="I200" s="13">
        <v>3000</v>
      </c>
      <c r="J200" s="11"/>
      <c r="K200" s="14">
        <f t="shared" si="29"/>
        <v>18497.909090909088</v>
      </c>
      <c r="L200" s="15">
        <v>12.52</v>
      </c>
      <c r="M200" s="15">
        <v>14.05</v>
      </c>
      <c r="N200" s="16">
        <f t="shared" si="30"/>
        <v>129790</v>
      </c>
      <c r="O200" s="17">
        <f t="shared" si="32"/>
        <v>117990.90909090909</v>
      </c>
      <c r="P200" s="18">
        <f t="shared" si="31"/>
        <v>99493</v>
      </c>
    </row>
    <row r="201" spans="1:16" x14ac:dyDescent="0.3">
      <c r="A201" s="7">
        <v>45339</v>
      </c>
      <c r="B201" s="28" t="s">
        <v>19</v>
      </c>
      <c r="C201" s="9">
        <v>9.6579999999999995</v>
      </c>
      <c r="D201" s="9">
        <v>10.629</v>
      </c>
      <c r="E201" s="21"/>
      <c r="F201" s="21"/>
      <c r="G201" s="11" t="s">
        <v>23</v>
      </c>
      <c r="H201" s="13">
        <v>4000</v>
      </c>
      <c r="I201" s="13">
        <v>3000</v>
      </c>
      <c r="J201" s="11"/>
      <c r="K201" s="14">
        <f t="shared" ref="K201:K216" si="33">O201-P201</f>
        <v>12535.545454545441</v>
      </c>
      <c r="L201" s="15">
        <v>12.37</v>
      </c>
      <c r="M201" s="15">
        <v>13.96</v>
      </c>
      <c r="N201" s="16">
        <f t="shared" si="30"/>
        <v>91360</v>
      </c>
      <c r="O201" s="17">
        <f t="shared" si="32"/>
        <v>83054.545454545441</v>
      </c>
      <c r="P201" s="18">
        <f t="shared" si="31"/>
        <v>70519</v>
      </c>
    </row>
    <row r="202" spans="1:16" x14ac:dyDescent="0.3">
      <c r="A202" s="7">
        <v>45341</v>
      </c>
      <c r="B202" s="28" t="s">
        <v>20</v>
      </c>
      <c r="C202" s="9">
        <v>10.199999999999999</v>
      </c>
      <c r="D202" s="9"/>
      <c r="E202" s="12">
        <v>33000</v>
      </c>
      <c r="F202" s="12"/>
      <c r="G202" s="11" t="s">
        <v>27</v>
      </c>
      <c r="H202" s="12">
        <v>33000</v>
      </c>
      <c r="I202" s="13"/>
      <c r="J202" s="11"/>
      <c r="K202" s="14">
        <f t="shared" si="33"/>
        <v>24899.999999999942</v>
      </c>
      <c r="L202" s="15">
        <v>12.05</v>
      </c>
      <c r="M202" s="15"/>
      <c r="N202" s="16">
        <f t="shared" si="30"/>
        <v>397650</v>
      </c>
      <c r="O202" s="17">
        <f t="shared" si="32"/>
        <v>361499.99999999994</v>
      </c>
      <c r="P202" s="18">
        <f t="shared" si="31"/>
        <v>336600</v>
      </c>
    </row>
    <row r="203" spans="1:16" x14ac:dyDescent="0.3">
      <c r="A203" s="7">
        <v>45341</v>
      </c>
      <c r="B203" s="28" t="s">
        <v>16</v>
      </c>
      <c r="C203" s="9">
        <v>9.9809999999999999</v>
      </c>
      <c r="D203" s="9">
        <v>10.933</v>
      </c>
      <c r="E203" s="10">
        <v>26000</v>
      </c>
      <c r="F203" s="10">
        <v>40000</v>
      </c>
      <c r="G203" s="11" t="s">
        <v>38</v>
      </c>
      <c r="H203" s="12"/>
      <c r="I203" s="13">
        <v>33000</v>
      </c>
      <c r="J203" s="11"/>
      <c r="K203" s="29">
        <f t="shared" si="33"/>
        <v>5210.9999999999418</v>
      </c>
      <c r="L203" s="15"/>
      <c r="M203" s="15">
        <v>12.2</v>
      </c>
      <c r="N203" s="16">
        <f t="shared" si="30"/>
        <v>402600</v>
      </c>
      <c r="O203" s="17">
        <f t="shared" si="32"/>
        <v>365999.99999999994</v>
      </c>
      <c r="P203" s="18">
        <f t="shared" si="31"/>
        <v>360789</v>
      </c>
    </row>
    <row r="204" spans="1:16" x14ac:dyDescent="0.3">
      <c r="A204" s="7">
        <v>45341</v>
      </c>
      <c r="B204" s="28" t="s">
        <v>16</v>
      </c>
      <c r="C204" s="9">
        <v>9.9809999999999999</v>
      </c>
      <c r="D204" s="9">
        <v>10.933</v>
      </c>
      <c r="E204" s="21"/>
      <c r="F204" s="21"/>
      <c r="G204" s="11" t="s">
        <v>33</v>
      </c>
      <c r="H204" s="12">
        <v>26000</v>
      </c>
      <c r="I204" s="13">
        <v>7000</v>
      </c>
      <c r="J204" s="11"/>
      <c r="K204" s="29">
        <f t="shared" si="33"/>
        <v>3172.0909090908826</v>
      </c>
      <c r="L204" s="15">
        <v>11.08</v>
      </c>
      <c r="M204" s="15">
        <v>12.15</v>
      </c>
      <c r="N204" s="16">
        <f t="shared" si="30"/>
        <v>373130</v>
      </c>
      <c r="O204" s="17">
        <f t="shared" si="32"/>
        <v>339209.09090909088</v>
      </c>
      <c r="P204" s="18">
        <f t="shared" si="31"/>
        <v>336037</v>
      </c>
    </row>
    <row r="205" spans="1:16" x14ac:dyDescent="0.3">
      <c r="A205" s="7">
        <v>45342</v>
      </c>
      <c r="B205" s="28" t="s">
        <v>16</v>
      </c>
      <c r="C205" s="9">
        <v>9.9809999999999999</v>
      </c>
      <c r="D205" s="9">
        <v>10.933</v>
      </c>
      <c r="E205" s="10">
        <v>17000</v>
      </c>
      <c r="F205" s="10">
        <v>14000</v>
      </c>
      <c r="G205" s="11" t="s">
        <v>33</v>
      </c>
      <c r="H205" s="12">
        <v>17000</v>
      </c>
      <c r="I205" s="13"/>
      <c r="J205" s="11"/>
      <c r="K205" s="29">
        <f t="shared" si="33"/>
        <v>1559.3636363636178</v>
      </c>
      <c r="L205" s="15">
        <v>11.08</v>
      </c>
      <c r="M205" s="15"/>
      <c r="N205" s="16">
        <f t="shared" si="30"/>
        <v>188360</v>
      </c>
      <c r="O205" s="17">
        <f t="shared" si="32"/>
        <v>171236.36363636362</v>
      </c>
      <c r="P205" s="18">
        <f t="shared" si="31"/>
        <v>169677</v>
      </c>
    </row>
    <row r="206" spans="1:16" x14ac:dyDescent="0.3">
      <c r="A206" s="7">
        <v>45342</v>
      </c>
      <c r="B206" s="28" t="s">
        <v>16</v>
      </c>
      <c r="C206" s="9">
        <v>9.9809999999999999</v>
      </c>
      <c r="D206" s="9">
        <v>10.933</v>
      </c>
      <c r="E206" s="21"/>
      <c r="F206" s="21"/>
      <c r="G206" s="11" t="s">
        <v>34</v>
      </c>
      <c r="H206" s="12"/>
      <c r="I206" s="13">
        <v>14000</v>
      </c>
      <c r="J206" s="11"/>
      <c r="K206" s="29">
        <f t="shared" si="33"/>
        <v>5774.3636363636178</v>
      </c>
      <c r="L206" s="15"/>
      <c r="M206" s="15">
        <v>12.48</v>
      </c>
      <c r="N206" s="16">
        <f t="shared" si="30"/>
        <v>174720</v>
      </c>
      <c r="O206" s="17">
        <f t="shared" si="32"/>
        <v>158836.36363636362</v>
      </c>
      <c r="P206" s="18">
        <f t="shared" si="31"/>
        <v>153062</v>
      </c>
    </row>
    <row r="207" spans="1:16" x14ac:dyDescent="0.3">
      <c r="A207" s="7">
        <v>45342</v>
      </c>
      <c r="B207" s="28" t="s">
        <v>19</v>
      </c>
      <c r="C207" s="9">
        <v>9.6579999999999995</v>
      </c>
      <c r="D207" s="9">
        <v>10.629</v>
      </c>
      <c r="E207" s="12"/>
      <c r="F207" s="12">
        <v>2000</v>
      </c>
      <c r="G207" s="20" t="s">
        <v>33</v>
      </c>
      <c r="H207" s="12"/>
      <c r="I207" s="13">
        <v>2000</v>
      </c>
      <c r="J207" s="11"/>
      <c r="K207" s="29">
        <f>O207-P207</f>
        <v>832.90909090908826</v>
      </c>
      <c r="L207" s="15"/>
      <c r="M207" s="15">
        <v>12.15</v>
      </c>
      <c r="N207" s="16">
        <f t="shared" si="30"/>
        <v>24300</v>
      </c>
      <c r="O207" s="17">
        <f t="shared" si="32"/>
        <v>22090.909090909088</v>
      </c>
      <c r="P207" s="18">
        <f t="shared" si="31"/>
        <v>21258</v>
      </c>
    </row>
    <row r="208" spans="1:16" x14ac:dyDescent="0.3">
      <c r="A208" s="7">
        <v>45343</v>
      </c>
      <c r="B208" s="28" t="s">
        <v>19</v>
      </c>
      <c r="C208" s="9">
        <v>9.6579999999999995</v>
      </c>
      <c r="D208" s="9">
        <v>10.629</v>
      </c>
      <c r="E208" s="12">
        <v>15000</v>
      </c>
      <c r="F208" s="12"/>
      <c r="G208" s="11" t="s">
        <v>30</v>
      </c>
      <c r="H208" s="12">
        <v>15000</v>
      </c>
      <c r="I208" s="13">
        <v>0</v>
      </c>
      <c r="J208" s="11"/>
      <c r="K208" s="29">
        <f>O208-P208</f>
        <v>9084.5454545454413</v>
      </c>
      <c r="L208" s="15">
        <v>11.29</v>
      </c>
      <c r="M208" s="15"/>
      <c r="N208" s="16">
        <f t="shared" si="30"/>
        <v>169350</v>
      </c>
      <c r="O208" s="17">
        <f t="shared" si="32"/>
        <v>153954.54545454544</v>
      </c>
      <c r="P208" s="18">
        <f t="shared" si="31"/>
        <v>144870</v>
      </c>
    </row>
    <row r="209" spans="1:16" x14ac:dyDescent="0.3">
      <c r="A209" s="7">
        <v>45343</v>
      </c>
      <c r="B209" s="28" t="s">
        <v>19</v>
      </c>
      <c r="C209" s="9">
        <v>9.6579999999999995</v>
      </c>
      <c r="D209" s="9">
        <v>10.629</v>
      </c>
      <c r="E209" s="12">
        <v>10000</v>
      </c>
      <c r="F209" s="12"/>
      <c r="G209" s="20" t="s">
        <v>23</v>
      </c>
      <c r="H209" s="12">
        <v>10000</v>
      </c>
      <c r="I209" s="13"/>
      <c r="J209" s="11"/>
      <c r="K209" s="14">
        <f t="shared" si="33"/>
        <v>15874.545454545427</v>
      </c>
      <c r="L209" s="15">
        <v>12.37</v>
      </c>
      <c r="M209" s="15"/>
      <c r="N209" s="16">
        <f t="shared" si="30"/>
        <v>123699.99999999999</v>
      </c>
      <c r="O209" s="17">
        <f t="shared" si="32"/>
        <v>112454.54545454543</v>
      </c>
      <c r="P209" s="18">
        <f t="shared" si="31"/>
        <v>96580</v>
      </c>
    </row>
    <row r="210" spans="1:16" x14ac:dyDescent="0.3">
      <c r="A210" s="7">
        <v>44979</v>
      </c>
      <c r="B210" s="28" t="s">
        <v>16</v>
      </c>
      <c r="C210" s="9">
        <v>9.9809999999999999</v>
      </c>
      <c r="D210" s="9">
        <v>10.933</v>
      </c>
      <c r="E210" s="10">
        <v>83000</v>
      </c>
      <c r="F210" s="10">
        <v>51000</v>
      </c>
      <c r="G210" s="20" t="s">
        <v>17</v>
      </c>
      <c r="H210" s="12">
        <v>33000</v>
      </c>
      <c r="I210" s="13"/>
      <c r="J210" s="11"/>
      <c r="K210" s="29">
        <f t="shared" si="33"/>
        <v>3027</v>
      </c>
      <c r="L210" s="15">
        <v>11.08</v>
      </c>
      <c r="M210" s="15">
        <v>12.15</v>
      </c>
      <c r="N210" s="16">
        <f t="shared" si="30"/>
        <v>365640</v>
      </c>
      <c r="O210" s="17">
        <f t="shared" si="32"/>
        <v>332400</v>
      </c>
      <c r="P210" s="18">
        <f t="shared" si="31"/>
        <v>329373</v>
      </c>
    </row>
    <row r="211" spans="1:16" x14ac:dyDescent="0.3">
      <c r="A211" s="7">
        <v>45343</v>
      </c>
      <c r="B211" s="28" t="s">
        <v>16</v>
      </c>
      <c r="C211" s="9">
        <v>9.9809999999999999</v>
      </c>
      <c r="D211" s="9">
        <v>10.933</v>
      </c>
      <c r="E211" s="19"/>
      <c r="F211" s="19"/>
      <c r="G211" s="20" t="s">
        <v>17</v>
      </c>
      <c r="H211" s="12">
        <v>30000</v>
      </c>
      <c r="I211" s="13">
        <v>0</v>
      </c>
      <c r="J211" s="11"/>
      <c r="K211" s="29">
        <f t="shared" si="33"/>
        <v>2751.8181818181765</v>
      </c>
      <c r="L211" s="15">
        <v>11.08</v>
      </c>
      <c r="M211" s="15">
        <v>12.15</v>
      </c>
      <c r="N211" s="16">
        <f t="shared" si="30"/>
        <v>332400</v>
      </c>
      <c r="O211" s="17">
        <f t="shared" si="32"/>
        <v>302181.81818181818</v>
      </c>
      <c r="P211" s="18">
        <f t="shared" si="31"/>
        <v>299430</v>
      </c>
    </row>
    <row r="212" spans="1:16" hidden="1" x14ac:dyDescent="0.3">
      <c r="A212" s="7">
        <v>45343</v>
      </c>
      <c r="B212" s="28" t="s">
        <v>16</v>
      </c>
      <c r="C212" s="9">
        <v>9.9809999999999999</v>
      </c>
      <c r="D212" s="9">
        <v>10.933</v>
      </c>
      <c r="E212" s="19"/>
      <c r="F212" s="19"/>
      <c r="G212" s="20" t="s">
        <v>22</v>
      </c>
      <c r="H212" s="12"/>
      <c r="I212" s="13">
        <v>3000</v>
      </c>
      <c r="J212" s="11"/>
      <c r="K212" s="29"/>
      <c r="L212" s="15"/>
      <c r="M212" s="15"/>
      <c r="N212" s="16">
        <f t="shared" si="30"/>
        <v>0</v>
      </c>
      <c r="O212" s="17">
        <f t="shared" si="32"/>
        <v>0</v>
      </c>
      <c r="P212" s="18">
        <f t="shared" si="31"/>
        <v>32799</v>
      </c>
    </row>
    <row r="213" spans="1:16" x14ac:dyDescent="0.3">
      <c r="A213" s="7">
        <v>45343</v>
      </c>
      <c r="B213" s="28" t="s">
        <v>19</v>
      </c>
      <c r="C213" s="9">
        <v>9.6579999999999995</v>
      </c>
      <c r="D213" s="9">
        <v>10.629</v>
      </c>
      <c r="E213" s="19"/>
      <c r="F213" s="19"/>
      <c r="G213" s="20" t="s">
        <v>17</v>
      </c>
      <c r="H213" s="12">
        <v>3000</v>
      </c>
      <c r="I213" s="13"/>
      <c r="J213" s="11"/>
      <c r="K213" s="29"/>
      <c r="L213" s="15">
        <v>11.08</v>
      </c>
      <c r="M213" s="15">
        <v>12.15</v>
      </c>
      <c r="N213" s="16">
        <f t="shared" si="30"/>
        <v>33240</v>
      </c>
      <c r="O213" s="17">
        <f t="shared" si="32"/>
        <v>30218.181818181816</v>
      </c>
      <c r="P213" s="18">
        <f t="shared" si="31"/>
        <v>28974</v>
      </c>
    </row>
    <row r="214" spans="1:16" x14ac:dyDescent="0.3">
      <c r="A214" s="7">
        <v>45344</v>
      </c>
      <c r="B214" s="28" t="s">
        <v>16</v>
      </c>
      <c r="C214" s="9">
        <v>9.9809999999999999</v>
      </c>
      <c r="D214" s="9">
        <v>10.933</v>
      </c>
      <c r="E214" s="19"/>
      <c r="F214" s="19"/>
      <c r="G214" s="20" t="s">
        <v>17</v>
      </c>
      <c r="H214" s="12">
        <v>17000</v>
      </c>
      <c r="I214" s="13"/>
      <c r="J214" s="11"/>
      <c r="K214" s="29">
        <f t="shared" si="33"/>
        <v>1559.3636363636178</v>
      </c>
      <c r="L214" s="15">
        <v>11.08</v>
      </c>
      <c r="M214" s="15">
        <v>12.15</v>
      </c>
      <c r="N214" s="16">
        <f t="shared" si="30"/>
        <v>188360</v>
      </c>
      <c r="O214" s="17">
        <f t="shared" si="32"/>
        <v>171236.36363636362</v>
      </c>
      <c r="P214" s="18">
        <f t="shared" si="31"/>
        <v>169677</v>
      </c>
    </row>
    <row r="215" spans="1:16" x14ac:dyDescent="0.3">
      <c r="A215" s="7">
        <v>45344</v>
      </c>
      <c r="B215" s="28" t="s">
        <v>16</v>
      </c>
      <c r="C215" s="9">
        <v>9.9809999999999999</v>
      </c>
      <c r="D215" s="9">
        <v>10.933</v>
      </c>
      <c r="E215" s="19"/>
      <c r="F215" s="19"/>
      <c r="G215" s="20" t="s">
        <v>17</v>
      </c>
      <c r="H215" s="12"/>
      <c r="I215" s="13">
        <v>33000</v>
      </c>
      <c r="J215" s="11"/>
      <c r="K215" s="29">
        <f t="shared" si="33"/>
        <v>3710.9999999999418</v>
      </c>
      <c r="L215" s="15">
        <v>11.08</v>
      </c>
      <c r="M215" s="15">
        <v>12.15</v>
      </c>
      <c r="N215" s="16">
        <f t="shared" si="30"/>
        <v>400950</v>
      </c>
      <c r="O215" s="17">
        <f t="shared" si="32"/>
        <v>364499.99999999994</v>
      </c>
      <c r="P215" s="18">
        <f t="shared" si="31"/>
        <v>360789</v>
      </c>
    </row>
    <row r="216" spans="1:16" x14ac:dyDescent="0.3">
      <c r="A216" s="7">
        <v>45343</v>
      </c>
      <c r="B216" s="28" t="s">
        <v>16</v>
      </c>
      <c r="C216" s="9">
        <v>9.9809999999999999</v>
      </c>
      <c r="D216" s="9">
        <v>10.933</v>
      </c>
      <c r="E216" s="21"/>
      <c r="F216" s="21"/>
      <c r="G216" s="11" t="s">
        <v>37</v>
      </c>
      <c r="H216" s="12"/>
      <c r="I216" s="13">
        <v>15000</v>
      </c>
      <c r="J216" s="11"/>
      <c r="K216" s="29">
        <f t="shared" si="33"/>
        <v>2368.6363636363531</v>
      </c>
      <c r="L216" s="15"/>
      <c r="M216" s="15">
        <v>12.2</v>
      </c>
      <c r="N216" s="16">
        <f t="shared" si="30"/>
        <v>183000</v>
      </c>
      <c r="O216" s="17">
        <f t="shared" si="32"/>
        <v>166363.63636363635</v>
      </c>
      <c r="P216" s="18">
        <f t="shared" si="31"/>
        <v>163995</v>
      </c>
    </row>
    <row r="217" spans="1:16" x14ac:dyDescent="0.3">
      <c r="A217" s="7">
        <v>45344</v>
      </c>
      <c r="B217" s="28" t="s">
        <v>16</v>
      </c>
      <c r="C217" s="9">
        <v>9.9809999999999999</v>
      </c>
      <c r="D217" s="9">
        <v>10.933</v>
      </c>
      <c r="E217" s="10">
        <v>105000</v>
      </c>
      <c r="F217" s="10">
        <v>26000</v>
      </c>
      <c r="G217" s="20" t="s">
        <v>17</v>
      </c>
      <c r="H217" s="12">
        <v>33000</v>
      </c>
      <c r="I217" s="13"/>
      <c r="J217" s="11"/>
      <c r="K217" s="29">
        <f>O217-P217</f>
        <v>3027</v>
      </c>
      <c r="L217" s="15">
        <v>11.08</v>
      </c>
      <c r="M217" s="15">
        <v>12.15</v>
      </c>
      <c r="N217" s="16">
        <f t="shared" si="30"/>
        <v>365640</v>
      </c>
      <c r="O217" s="17">
        <f t="shared" si="32"/>
        <v>332400</v>
      </c>
      <c r="P217" s="18">
        <f t="shared" si="31"/>
        <v>329373</v>
      </c>
    </row>
    <row r="218" spans="1:16" x14ac:dyDescent="0.3">
      <c r="A218" s="7">
        <v>45344</v>
      </c>
      <c r="B218" s="28" t="s">
        <v>16</v>
      </c>
      <c r="C218" s="9">
        <v>9.9809999999999999</v>
      </c>
      <c r="D218" s="9">
        <v>10.933</v>
      </c>
      <c r="E218" s="19"/>
      <c r="F218" s="19"/>
      <c r="G218" s="11" t="s">
        <v>37</v>
      </c>
      <c r="H218" s="12"/>
      <c r="I218" s="13">
        <v>15000</v>
      </c>
      <c r="J218" s="11"/>
      <c r="K218" s="29">
        <f t="shared" ref="K218:K248" si="34">O218-P218</f>
        <v>2368.6363636363531</v>
      </c>
      <c r="L218" s="15"/>
      <c r="M218" s="15">
        <v>12.2</v>
      </c>
      <c r="N218" s="16">
        <f t="shared" si="30"/>
        <v>183000</v>
      </c>
      <c r="O218" s="17">
        <f t="shared" si="32"/>
        <v>166363.63636363635</v>
      </c>
      <c r="P218" s="18">
        <f t="shared" si="31"/>
        <v>163995</v>
      </c>
    </row>
    <row r="219" spans="1:16" x14ac:dyDescent="0.3">
      <c r="A219" s="7">
        <v>45344</v>
      </c>
      <c r="B219" s="28" t="s">
        <v>16</v>
      </c>
      <c r="C219" s="9">
        <v>9.9809999999999999</v>
      </c>
      <c r="D219" s="9">
        <v>10.933</v>
      </c>
      <c r="E219" s="19"/>
      <c r="F219" s="19"/>
      <c r="G219" s="20" t="s">
        <v>17</v>
      </c>
      <c r="H219" s="12">
        <v>17000</v>
      </c>
      <c r="I219" s="13"/>
      <c r="J219" s="11"/>
      <c r="K219" s="29">
        <f t="shared" si="34"/>
        <v>1559.3636363636178</v>
      </c>
      <c r="L219" s="15">
        <v>11.08</v>
      </c>
      <c r="M219" s="15">
        <v>12.15</v>
      </c>
      <c r="N219" s="16">
        <f t="shared" si="30"/>
        <v>188360</v>
      </c>
      <c r="O219" s="17">
        <f t="shared" si="32"/>
        <v>171236.36363636362</v>
      </c>
      <c r="P219" s="18">
        <f t="shared" si="31"/>
        <v>169677</v>
      </c>
    </row>
    <row r="220" spans="1:16" x14ac:dyDescent="0.3">
      <c r="A220" s="7">
        <v>45344</v>
      </c>
      <c r="B220" s="28" t="s">
        <v>16</v>
      </c>
      <c r="C220" s="9">
        <v>9.9809999999999999</v>
      </c>
      <c r="D220" s="9">
        <v>10.933</v>
      </c>
      <c r="E220" s="19"/>
      <c r="F220" s="19"/>
      <c r="G220" s="20" t="s">
        <v>17</v>
      </c>
      <c r="H220" s="12">
        <v>33000</v>
      </c>
      <c r="I220" s="13"/>
      <c r="J220" s="11"/>
      <c r="K220" s="29">
        <f t="shared" si="34"/>
        <v>1527</v>
      </c>
      <c r="L220" s="15">
        <v>11.03</v>
      </c>
      <c r="M220" s="15">
        <v>12.15</v>
      </c>
      <c r="N220" s="16">
        <f t="shared" si="30"/>
        <v>363990</v>
      </c>
      <c r="O220" s="17">
        <f t="shared" si="32"/>
        <v>330900</v>
      </c>
      <c r="P220" s="18">
        <f t="shared" si="31"/>
        <v>329373</v>
      </c>
    </row>
    <row r="221" spans="1:16" x14ac:dyDescent="0.3">
      <c r="A221" s="7">
        <v>45344</v>
      </c>
      <c r="B221" s="28" t="s">
        <v>16</v>
      </c>
      <c r="C221" s="9">
        <v>9.9809999999999999</v>
      </c>
      <c r="D221" s="9">
        <v>10.933</v>
      </c>
      <c r="E221" s="19"/>
      <c r="F221" s="19"/>
      <c r="G221" s="20" t="s">
        <v>26</v>
      </c>
      <c r="H221" s="12">
        <v>22000</v>
      </c>
      <c r="I221" s="13">
        <v>5000</v>
      </c>
      <c r="J221" s="11"/>
      <c r="K221" s="29">
        <f t="shared" si="34"/>
        <v>41125.727272727236</v>
      </c>
      <c r="L221" s="15">
        <v>12.58</v>
      </c>
      <c r="M221" s="15">
        <v>14.03</v>
      </c>
      <c r="N221" s="16">
        <f t="shared" si="30"/>
        <v>346910</v>
      </c>
      <c r="O221" s="17">
        <f t="shared" si="32"/>
        <v>315372.72727272724</v>
      </c>
      <c r="P221" s="18">
        <f t="shared" si="31"/>
        <v>274247</v>
      </c>
    </row>
    <row r="222" spans="1:16" x14ac:dyDescent="0.3">
      <c r="A222" s="7">
        <v>45344</v>
      </c>
      <c r="B222" s="28" t="s">
        <v>16</v>
      </c>
      <c r="C222" s="9">
        <v>9.9809999999999999</v>
      </c>
      <c r="D222" s="9">
        <v>10.933</v>
      </c>
      <c r="E222" s="21"/>
      <c r="F222" s="21"/>
      <c r="G222" s="20" t="s">
        <v>23</v>
      </c>
      <c r="H222" s="12"/>
      <c r="I222" s="13">
        <v>6000</v>
      </c>
      <c r="J222" s="11"/>
      <c r="K222" s="29">
        <f t="shared" si="34"/>
        <v>10547.454545454544</v>
      </c>
      <c r="L222" s="15"/>
      <c r="M222" s="15">
        <v>13.96</v>
      </c>
      <c r="N222" s="16">
        <f t="shared" si="30"/>
        <v>83760</v>
      </c>
      <c r="O222" s="17">
        <f t="shared" si="32"/>
        <v>76145.454545454544</v>
      </c>
      <c r="P222" s="18">
        <f t="shared" si="31"/>
        <v>65598</v>
      </c>
    </row>
    <row r="223" spans="1:16" x14ac:dyDescent="0.3">
      <c r="A223" s="7">
        <v>45345</v>
      </c>
      <c r="B223" s="28" t="s">
        <v>16</v>
      </c>
      <c r="C223" s="9">
        <v>9.9809999999999999</v>
      </c>
      <c r="D223" s="9">
        <v>10.933</v>
      </c>
      <c r="E223" s="10">
        <v>131000</v>
      </c>
      <c r="F223" s="10">
        <v>31000</v>
      </c>
      <c r="G223" s="20" t="s">
        <v>21</v>
      </c>
      <c r="H223" s="12">
        <v>20000</v>
      </c>
      <c r="I223" s="13"/>
      <c r="J223" s="11"/>
      <c r="K223" s="29">
        <f t="shared" si="34"/>
        <v>26561.818181818177</v>
      </c>
      <c r="L223" s="15">
        <v>12.44</v>
      </c>
      <c r="M223" s="15">
        <v>13.98</v>
      </c>
      <c r="N223" s="16">
        <f t="shared" si="30"/>
        <v>248800</v>
      </c>
      <c r="O223" s="17">
        <f t="shared" si="32"/>
        <v>226181.81818181818</v>
      </c>
      <c r="P223" s="18">
        <f t="shared" si="31"/>
        <v>199620</v>
      </c>
    </row>
    <row r="224" spans="1:16" x14ac:dyDescent="0.3">
      <c r="A224" s="7">
        <v>45345</v>
      </c>
      <c r="B224" s="28" t="s">
        <v>16</v>
      </c>
      <c r="C224" s="9">
        <v>9.9809999999999999</v>
      </c>
      <c r="D224" s="9">
        <v>10.933</v>
      </c>
      <c r="E224" s="19"/>
      <c r="F224" s="19"/>
      <c r="G224" s="11" t="s">
        <v>30</v>
      </c>
      <c r="H224" s="12">
        <v>5000</v>
      </c>
      <c r="I224" s="13"/>
      <c r="J224" s="11"/>
      <c r="K224" s="14">
        <f t="shared" si="34"/>
        <v>1413.1818181818089</v>
      </c>
      <c r="L224" s="15">
        <v>11.29</v>
      </c>
      <c r="M224" s="15"/>
      <c r="N224" s="16">
        <f t="shared" si="30"/>
        <v>56449.999999999993</v>
      </c>
      <c r="O224" s="17">
        <f t="shared" si="32"/>
        <v>51318.181818181809</v>
      </c>
      <c r="P224" s="18">
        <f t="shared" si="31"/>
        <v>49905</v>
      </c>
    </row>
    <row r="225" spans="1:16" hidden="1" x14ac:dyDescent="0.3">
      <c r="A225" s="7">
        <v>45345</v>
      </c>
      <c r="B225" s="28" t="s">
        <v>16</v>
      </c>
      <c r="C225" s="9">
        <v>9.9809999999999999</v>
      </c>
      <c r="D225" s="9">
        <v>10.933</v>
      </c>
      <c r="E225" s="19"/>
      <c r="F225" s="19"/>
      <c r="G225" s="20" t="s">
        <v>22</v>
      </c>
      <c r="H225" s="12">
        <v>6000</v>
      </c>
      <c r="I225" s="13">
        <v>2000</v>
      </c>
      <c r="J225" s="11"/>
      <c r="K225" s="29">
        <f t="shared" si="34"/>
        <v>-81752</v>
      </c>
      <c r="L225" s="15"/>
      <c r="M225" s="15"/>
      <c r="N225" s="16">
        <f t="shared" si="30"/>
        <v>0</v>
      </c>
      <c r="O225" s="17">
        <f t="shared" si="32"/>
        <v>0</v>
      </c>
      <c r="P225" s="18">
        <f t="shared" si="31"/>
        <v>81752</v>
      </c>
    </row>
    <row r="226" spans="1:16" x14ac:dyDescent="0.3">
      <c r="A226" s="7">
        <v>45345</v>
      </c>
      <c r="B226" s="28" t="s">
        <v>16</v>
      </c>
      <c r="C226" s="9">
        <v>9.9809999999999999</v>
      </c>
      <c r="D226" s="9">
        <v>10.933</v>
      </c>
      <c r="E226" s="19"/>
      <c r="F226" s="19"/>
      <c r="G226" s="20" t="s">
        <v>32</v>
      </c>
      <c r="H226" s="12">
        <v>28000</v>
      </c>
      <c r="I226" s="13">
        <v>3000</v>
      </c>
      <c r="J226" s="11"/>
      <c r="K226" s="29">
        <f t="shared" si="34"/>
        <v>3805.7272727272357</v>
      </c>
      <c r="L226" s="15">
        <v>11.08</v>
      </c>
      <c r="M226" s="15">
        <v>12.48</v>
      </c>
      <c r="N226" s="16">
        <f t="shared" si="30"/>
        <v>347680</v>
      </c>
      <c r="O226" s="17">
        <f t="shared" si="32"/>
        <v>316072.72727272724</v>
      </c>
      <c r="P226" s="18">
        <f t="shared" si="31"/>
        <v>312267</v>
      </c>
    </row>
    <row r="227" spans="1:16" x14ac:dyDescent="0.3">
      <c r="A227" s="7">
        <v>45345</v>
      </c>
      <c r="B227" s="28" t="s">
        <v>16</v>
      </c>
      <c r="C227" s="9">
        <v>9.9809999999999999</v>
      </c>
      <c r="D227" s="9">
        <v>10.933</v>
      </c>
      <c r="E227" s="19"/>
      <c r="F227" s="19"/>
      <c r="G227" s="20" t="s">
        <v>17</v>
      </c>
      <c r="H227" s="12">
        <v>14000</v>
      </c>
      <c r="I227" s="13">
        <v>3000</v>
      </c>
      <c r="J227" s="11"/>
      <c r="K227" s="29">
        <f t="shared" si="34"/>
        <v>985.18181818179437</v>
      </c>
      <c r="L227" s="15">
        <v>11.03</v>
      </c>
      <c r="M227" s="15">
        <v>12.15</v>
      </c>
      <c r="N227" s="16">
        <f t="shared" si="30"/>
        <v>190870</v>
      </c>
      <c r="O227" s="17">
        <f t="shared" si="32"/>
        <v>173518.18181818179</v>
      </c>
      <c r="P227" s="18">
        <f t="shared" si="31"/>
        <v>172533</v>
      </c>
    </row>
    <row r="228" spans="1:16" x14ac:dyDescent="0.3">
      <c r="A228" s="7">
        <v>45346</v>
      </c>
      <c r="B228" s="28" t="s">
        <v>16</v>
      </c>
      <c r="C228" s="9">
        <v>9.9809999999999999</v>
      </c>
      <c r="D228" s="9">
        <v>10.933</v>
      </c>
      <c r="E228" s="19"/>
      <c r="F228" s="19"/>
      <c r="G228" s="20" t="s">
        <v>17</v>
      </c>
      <c r="H228" s="12">
        <v>25000</v>
      </c>
      <c r="I228" s="13">
        <v>8000</v>
      </c>
      <c r="J228" s="11"/>
      <c r="K228" s="29">
        <f t="shared" si="34"/>
        <v>2056.4545454545296</v>
      </c>
      <c r="L228" s="15">
        <v>11.03</v>
      </c>
      <c r="M228" s="15">
        <v>12.15</v>
      </c>
      <c r="N228" s="16">
        <f t="shared" si="30"/>
        <v>372950</v>
      </c>
      <c r="O228" s="17">
        <f t="shared" si="32"/>
        <v>339045.45454545453</v>
      </c>
      <c r="P228" s="18">
        <f t="shared" si="31"/>
        <v>336989</v>
      </c>
    </row>
    <row r="229" spans="1:16" x14ac:dyDescent="0.3">
      <c r="A229" s="7">
        <v>45348</v>
      </c>
      <c r="B229" s="28" t="s">
        <v>16</v>
      </c>
      <c r="C229" s="9">
        <v>9.9809999999999999</v>
      </c>
      <c r="D229" s="9">
        <v>10.933</v>
      </c>
      <c r="E229" s="19"/>
      <c r="F229" s="19"/>
      <c r="G229" s="20" t="s">
        <v>17</v>
      </c>
      <c r="H229" s="12">
        <v>33000</v>
      </c>
      <c r="I229" s="13"/>
      <c r="J229" s="11"/>
      <c r="K229" s="29">
        <f t="shared" si="34"/>
        <v>1527</v>
      </c>
      <c r="L229" s="15">
        <v>11.03</v>
      </c>
      <c r="M229" s="15">
        <v>12.15</v>
      </c>
      <c r="N229" s="16">
        <f t="shared" si="30"/>
        <v>363990</v>
      </c>
      <c r="O229" s="17">
        <f t="shared" si="32"/>
        <v>330900</v>
      </c>
      <c r="P229" s="18">
        <f t="shared" si="31"/>
        <v>329373</v>
      </c>
    </row>
    <row r="230" spans="1:16" x14ac:dyDescent="0.3">
      <c r="A230" s="7">
        <v>45346</v>
      </c>
      <c r="B230" s="28" t="s">
        <v>16</v>
      </c>
      <c r="C230" s="9">
        <v>9.9809999999999999</v>
      </c>
      <c r="D230" s="9">
        <v>10.933</v>
      </c>
      <c r="E230" s="21"/>
      <c r="F230" s="21"/>
      <c r="G230" s="11" t="s">
        <v>37</v>
      </c>
      <c r="H230" s="12"/>
      <c r="I230" s="13">
        <v>15000</v>
      </c>
      <c r="J230" s="11"/>
      <c r="K230" s="29">
        <f t="shared" si="34"/>
        <v>2368.6363636363531</v>
      </c>
      <c r="L230" s="15"/>
      <c r="M230" s="15">
        <v>12.2</v>
      </c>
      <c r="N230" s="16">
        <f t="shared" si="30"/>
        <v>183000</v>
      </c>
      <c r="O230" s="17">
        <f t="shared" si="32"/>
        <v>166363.63636363635</v>
      </c>
      <c r="P230" s="18">
        <f t="shared" si="31"/>
        <v>163995</v>
      </c>
    </row>
    <row r="231" spans="1:16" x14ac:dyDescent="0.3">
      <c r="A231" s="7">
        <v>45346</v>
      </c>
      <c r="B231" s="8" t="s">
        <v>19</v>
      </c>
      <c r="C231" s="9">
        <v>9.9809999999999999</v>
      </c>
      <c r="D231" s="9">
        <v>10.933</v>
      </c>
      <c r="E231" s="12"/>
      <c r="F231" s="12">
        <v>1000</v>
      </c>
      <c r="G231" s="20" t="s">
        <v>17</v>
      </c>
      <c r="H231" s="12"/>
      <c r="I231" s="13">
        <v>1000</v>
      </c>
      <c r="J231" s="11"/>
      <c r="K231" s="29">
        <f t="shared" si="34"/>
        <v>112.45454545454413</v>
      </c>
      <c r="L231" s="15"/>
      <c r="M231" s="15">
        <v>12.15</v>
      </c>
      <c r="N231" s="16">
        <f t="shared" si="30"/>
        <v>12150</v>
      </c>
      <c r="O231" s="17">
        <f t="shared" si="32"/>
        <v>11045.454545454544</v>
      </c>
      <c r="P231" s="18">
        <f t="shared" si="31"/>
        <v>10933</v>
      </c>
    </row>
    <row r="232" spans="1:16" x14ac:dyDescent="0.3">
      <c r="A232" s="7">
        <v>45346</v>
      </c>
      <c r="B232" s="8" t="s">
        <v>19</v>
      </c>
      <c r="C232" s="9">
        <v>9.9809999999999999</v>
      </c>
      <c r="D232" s="9">
        <v>10.933</v>
      </c>
      <c r="E232" s="24"/>
      <c r="F232" s="24">
        <v>3000</v>
      </c>
      <c r="G232" s="20" t="s">
        <v>17</v>
      </c>
      <c r="H232" s="12"/>
      <c r="I232" s="13">
        <v>3000</v>
      </c>
      <c r="J232" s="11"/>
      <c r="K232" s="29">
        <f t="shared" si="34"/>
        <v>337.36363636363239</v>
      </c>
      <c r="L232" s="15"/>
      <c r="M232" s="15">
        <v>12.15</v>
      </c>
      <c r="N232" s="16">
        <f t="shared" si="30"/>
        <v>36450</v>
      </c>
      <c r="O232" s="17">
        <f t="shared" si="32"/>
        <v>33136.363636363632</v>
      </c>
      <c r="P232" s="18">
        <f t="shared" si="31"/>
        <v>32799</v>
      </c>
    </row>
    <row r="233" spans="1:16" x14ac:dyDescent="0.3">
      <c r="A233" s="7">
        <v>45348</v>
      </c>
      <c r="B233" s="28" t="s">
        <v>16</v>
      </c>
      <c r="C233" s="9">
        <v>9.9809999999999999</v>
      </c>
      <c r="D233" s="9">
        <v>10.933</v>
      </c>
      <c r="E233" s="10">
        <v>52000</v>
      </c>
      <c r="F233" s="10">
        <v>10000</v>
      </c>
      <c r="G233" s="20" t="s">
        <v>17</v>
      </c>
      <c r="H233" s="12">
        <v>12000</v>
      </c>
      <c r="I233" s="13">
        <v>3000</v>
      </c>
      <c r="J233" s="11"/>
      <c r="K233" s="29">
        <f t="shared" si="34"/>
        <v>892.63636363635305</v>
      </c>
      <c r="L233" s="15">
        <v>11.03</v>
      </c>
      <c r="M233" s="15">
        <v>12.15</v>
      </c>
      <c r="N233" s="16">
        <f t="shared" si="30"/>
        <v>168810</v>
      </c>
      <c r="O233" s="17">
        <f t="shared" si="32"/>
        <v>153463.63636363635</v>
      </c>
      <c r="P233" s="18">
        <f t="shared" si="31"/>
        <v>152571</v>
      </c>
    </row>
    <row r="234" spans="1:16" hidden="1" x14ac:dyDescent="0.3">
      <c r="A234" s="7">
        <v>45348</v>
      </c>
      <c r="B234" s="28" t="s">
        <v>16</v>
      </c>
      <c r="C234" s="9">
        <v>9.9809999999999999</v>
      </c>
      <c r="D234" s="9">
        <v>10.933</v>
      </c>
      <c r="E234" s="19"/>
      <c r="F234" s="19"/>
      <c r="G234" s="20" t="s">
        <v>22</v>
      </c>
      <c r="H234" s="12">
        <v>10000</v>
      </c>
      <c r="I234" s="13">
        <v>4000</v>
      </c>
      <c r="J234" s="11"/>
      <c r="K234" s="29">
        <f t="shared" si="34"/>
        <v>-143542</v>
      </c>
      <c r="L234" s="15"/>
      <c r="M234" s="15"/>
      <c r="N234" s="16">
        <f t="shared" si="30"/>
        <v>0</v>
      </c>
      <c r="O234" s="17">
        <f t="shared" si="32"/>
        <v>0</v>
      </c>
      <c r="P234" s="18">
        <f t="shared" si="31"/>
        <v>143542</v>
      </c>
    </row>
    <row r="235" spans="1:16" x14ac:dyDescent="0.3">
      <c r="A235" s="7">
        <v>45349</v>
      </c>
      <c r="B235" s="28" t="s">
        <v>16</v>
      </c>
      <c r="C235" s="9">
        <v>9.9809999999999999</v>
      </c>
      <c r="D235" s="9">
        <v>10.933</v>
      </c>
      <c r="E235" s="21"/>
      <c r="F235" s="21"/>
      <c r="G235" s="20" t="s">
        <v>17</v>
      </c>
      <c r="H235" s="12">
        <v>30000</v>
      </c>
      <c r="I235" s="13">
        <v>3000</v>
      </c>
      <c r="J235" s="11"/>
      <c r="K235" s="29">
        <f t="shared" si="34"/>
        <v>1725.5454545454122</v>
      </c>
      <c r="L235" s="15">
        <v>11.03</v>
      </c>
      <c r="M235" s="15">
        <v>12.15</v>
      </c>
      <c r="N235" s="16">
        <f t="shared" si="30"/>
        <v>367350</v>
      </c>
      <c r="O235" s="17">
        <f t="shared" si="32"/>
        <v>333954.54545454541</v>
      </c>
      <c r="P235" s="18">
        <f t="shared" si="31"/>
        <v>332229</v>
      </c>
    </row>
    <row r="236" spans="1:16" x14ac:dyDescent="0.3">
      <c r="A236" s="7">
        <v>45349</v>
      </c>
      <c r="B236" s="28" t="s">
        <v>16</v>
      </c>
      <c r="C236" s="9">
        <v>9.9809999999999999</v>
      </c>
      <c r="D236" s="9">
        <v>10.933</v>
      </c>
      <c r="E236" s="10">
        <v>38000</v>
      </c>
      <c r="F236" s="10">
        <v>41000</v>
      </c>
      <c r="G236" s="20" t="s">
        <v>27</v>
      </c>
      <c r="H236" s="12">
        <v>21000</v>
      </c>
      <c r="I236" s="13">
        <v>2000</v>
      </c>
      <c r="J236" s="11"/>
      <c r="K236" s="29">
        <f t="shared" si="34"/>
        <v>23705.727272727265</v>
      </c>
      <c r="L236" s="15">
        <v>12.05</v>
      </c>
      <c r="M236" s="15">
        <v>13.82</v>
      </c>
      <c r="N236" s="16">
        <f t="shared" si="30"/>
        <v>280690</v>
      </c>
      <c r="O236" s="17">
        <f t="shared" si="32"/>
        <v>255172.72727272726</v>
      </c>
      <c r="P236" s="18">
        <f t="shared" si="31"/>
        <v>231467</v>
      </c>
    </row>
    <row r="237" spans="1:16" x14ac:dyDescent="0.3">
      <c r="A237" s="7">
        <v>45349</v>
      </c>
      <c r="B237" s="28" t="s">
        <v>16</v>
      </c>
      <c r="C237" s="9">
        <v>9.9809999999999999</v>
      </c>
      <c r="D237" s="9">
        <v>10.933</v>
      </c>
      <c r="E237" s="19"/>
      <c r="F237" s="19"/>
      <c r="G237" s="20" t="s">
        <v>23</v>
      </c>
      <c r="H237" s="12">
        <v>6000</v>
      </c>
      <c r="I237" s="13">
        <v>4000</v>
      </c>
      <c r="J237" s="11"/>
      <c r="K237" s="29">
        <f t="shared" si="34"/>
        <v>14618.363636363632</v>
      </c>
      <c r="L237" s="15">
        <v>12.37</v>
      </c>
      <c r="M237" s="15">
        <v>13.96</v>
      </c>
      <c r="N237" s="16">
        <f t="shared" si="30"/>
        <v>130060</v>
      </c>
      <c r="O237" s="17">
        <f t="shared" si="32"/>
        <v>118236.36363636363</v>
      </c>
      <c r="P237" s="18">
        <f t="shared" si="31"/>
        <v>103618</v>
      </c>
    </row>
    <row r="238" spans="1:16" x14ac:dyDescent="0.3">
      <c r="A238" s="7">
        <v>45349</v>
      </c>
      <c r="B238" s="28" t="s">
        <v>16</v>
      </c>
      <c r="C238" s="9">
        <v>9.9809999999999999</v>
      </c>
      <c r="D238" s="9">
        <v>10.933</v>
      </c>
      <c r="E238" s="19"/>
      <c r="F238" s="19"/>
      <c r="G238" s="11" t="s">
        <v>37</v>
      </c>
      <c r="H238" s="12"/>
      <c r="I238" s="13">
        <v>15000</v>
      </c>
      <c r="J238" s="11"/>
      <c r="K238" s="29">
        <f t="shared" si="34"/>
        <v>2368.6363636363531</v>
      </c>
      <c r="L238" s="15"/>
      <c r="M238" s="15">
        <v>12.2</v>
      </c>
      <c r="N238" s="16">
        <f t="shared" si="30"/>
        <v>183000</v>
      </c>
      <c r="O238" s="17">
        <f t="shared" si="32"/>
        <v>166363.63636363635</v>
      </c>
      <c r="P238" s="18">
        <f t="shared" si="31"/>
        <v>163995</v>
      </c>
    </row>
    <row r="239" spans="1:16" x14ac:dyDescent="0.3">
      <c r="A239" s="7">
        <v>45349</v>
      </c>
      <c r="B239" s="28" t="s">
        <v>16</v>
      </c>
      <c r="C239" s="9">
        <v>9.9809999999999999</v>
      </c>
      <c r="D239" s="9">
        <v>10.933</v>
      </c>
      <c r="E239" s="19"/>
      <c r="F239" s="19"/>
      <c r="G239" s="20" t="s">
        <v>17</v>
      </c>
      <c r="H239" s="12">
        <v>11000</v>
      </c>
      <c r="I239" s="13">
        <v>6000</v>
      </c>
      <c r="J239" s="11"/>
      <c r="K239" s="29">
        <f t="shared" si="34"/>
        <v>1183.7272727272648</v>
      </c>
      <c r="L239" s="15">
        <v>11.03</v>
      </c>
      <c r="M239" s="15">
        <v>12.15</v>
      </c>
      <c r="N239" s="16">
        <f t="shared" si="30"/>
        <v>194230</v>
      </c>
      <c r="O239" s="17">
        <f t="shared" si="32"/>
        <v>176572.72727272726</v>
      </c>
      <c r="P239" s="18">
        <f t="shared" si="31"/>
        <v>175389</v>
      </c>
    </row>
    <row r="240" spans="1:16" x14ac:dyDescent="0.3">
      <c r="A240" s="7">
        <v>45349</v>
      </c>
      <c r="B240" s="28" t="s">
        <v>16</v>
      </c>
      <c r="C240" s="9">
        <v>9.9809999999999999</v>
      </c>
      <c r="D240" s="9">
        <v>10.933</v>
      </c>
      <c r="E240" s="21"/>
      <c r="F240" s="21"/>
      <c r="G240" s="11" t="s">
        <v>34</v>
      </c>
      <c r="H240" s="12"/>
      <c r="I240" s="13">
        <v>14000</v>
      </c>
      <c r="J240" s="11"/>
      <c r="K240" s="29">
        <f t="shared" si="34"/>
        <v>5774.3636363636178</v>
      </c>
      <c r="L240" s="15"/>
      <c r="M240" s="15">
        <v>12.48</v>
      </c>
      <c r="N240" s="16">
        <f t="shared" si="30"/>
        <v>174720</v>
      </c>
      <c r="O240" s="17">
        <f t="shared" si="32"/>
        <v>158836.36363636362</v>
      </c>
      <c r="P240" s="18">
        <f t="shared" si="31"/>
        <v>153062</v>
      </c>
    </row>
    <row r="241" spans="1:16" x14ac:dyDescent="0.3">
      <c r="A241" s="7">
        <v>45350</v>
      </c>
      <c r="B241" s="28" t="s">
        <v>16</v>
      </c>
      <c r="C241" s="9">
        <v>9.9809999999999999</v>
      </c>
      <c r="D241" s="9">
        <v>10.933</v>
      </c>
      <c r="E241" s="10">
        <v>33000</v>
      </c>
      <c r="F241" s="10">
        <v>33000</v>
      </c>
      <c r="G241" s="20" t="s">
        <v>17</v>
      </c>
      <c r="H241" s="12">
        <v>33000</v>
      </c>
      <c r="I241" s="13"/>
      <c r="J241" s="11"/>
      <c r="K241" s="29">
        <f t="shared" si="34"/>
        <v>1527</v>
      </c>
      <c r="L241" s="15">
        <v>11.03</v>
      </c>
      <c r="M241" s="15">
        <v>12.15</v>
      </c>
      <c r="N241" s="16">
        <f t="shared" si="30"/>
        <v>363990</v>
      </c>
      <c r="O241" s="17">
        <f t="shared" si="32"/>
        <v>330900</v>
      </c>
      <c r="P241" s="18">
        <f t="shared" si="31"/>
        <v>329373</v>
      </c>
    </row>
    <row r="242" spans="1:16" x14ac:dyDescent="0.3">
      <c r="A242" s="7">
        <v>45350</v>
      </c>
      <c r="B242" s="28" t="s">
        <v>16</v>
      </c>
      <c r="C242" s="9">
        <v>9.9809999999999999</v>
      </c>
      <c r="D242" s="9">
        <v>10.933</v>
      </c>
      <c r="E242" s="21"/>
      <c r="F242" s="21"/>
      <c r="G242" s="20" t="s">
        <v>17</v>
      </c>
      <c r="H242" s="12"/>
      <c r="I242" s="13">
        <v>33000</v>
      </c>
      <c r="J242" s="11"/>
      <c r="K242" s="29">
        <f t="shared" si="34"/>
        <v>3710.9999999999418</v>
      </c>
      <c r="L242" s="15">
        <v>11.03</v>
      </c>
      <c r="M242" s="15">
        <v>12.15</v>
      </c>
      <c r="N242" s="16">
        <f t="shared" si="30"/>
        <v>400950</v>
      </c>
      <c r="O242" s="17">
        <f t="shared" si="32"/>
        <v>364499.99999999994</v>
      </c>
      <c r="P242" s="18">
        <f t="shared" si="31"/>
        <v>360789</v>
      </c>
    </row>
    <row r="243" spans="1:16" x14ac:dyDescent="0.3">
      <c r="A243" s="7">
        <v>45351</v>
      </c>
      <c r="B243" s="28" t="s">
        <v>16</v>
      </c>
      <c r="C243" s="9">
        <v>9.9809999999999999</v>
      </c>
      <c r="D243" s="9">
        <v>10.933</v>
      </c>
      <c r="E243" s="10">
        <v>56000</v>
      </c>
      <c r="F243" s="10">
        <v>43000</v>
      </c>
      <c r="G243" s="20" t="s">
        <v>25</v>
      </c>
      <c r="H243" s="12">
        <v>8000</v>
      </c>
      <c r="I243" s="13">
        <v>4000</v>
      </c>
      <c r="J243" s="11"/>
      <c r="K243" s="29">
        <f t="shared" si="34"/>
        <v>18565.45454545453</v>
      </c>
      <c r="L243" s="15">
        <v>12.52</v>
      </c>
      <c r="M243" s="15">
        <v>14.05</v>
      </c>
      <c r="N243" s="16">
        <f t="shared" si="30"/>
        <v>156360</v>
      </c>
      <c r="O243" s="17">
        <f t="shared" si="32"/>
        <v>142145.45454545453</v>
      </c>
      <c r="P243" s="18">
        <f t="shared" si="31"/>
        <v>123580</v>
      </c>
    </row>
    <row r="244" spans="1:16" x14ac:dyDescent="0.3">
      <c r="A244" s="7">
        <v>45351</v>
      </c>
      <c r="B244" s="28" t="s">
        <v>16</v>
      </c>
      <c r="C244" s="9">
        <v>9.9809999999999999</v>
      </c>
      <c r="D244" s="9">
        <v>10.933</v>
      </c>
      <c r="E244" s="19"/>
      <c r="F244" s="19"/>
      <c r="G244" s="20" t="s">
        <v>23</v>
      </c>
      <c r="H244" s="12">
        <v>11000</v>
      </c>
      <c r="I244" s="13"/>
      <c r="J244" s="11"/>
      <c r="K244" s="29">
        <f t="shared" si="34"/>
        <v>13908.999999999985</v>
      </c>
      <c r="L244" s="15">
        <v>12.37</v>
      </c>
      <c r="M244" s="15">
        <v>13.96</v>
      </c>
      <c r="N244" s="16">
        <f t="shared" si="30"/>
        <v>136070</v>
      </c>
      <c r="O244" s="17">
        <f t="shared" si="32"/>
        <v>123699.99999999999</v>
      </c>
      <c r="P244" s="18">
        <f t="shared" si="31"/>
        <v>109791</v>
      </c>
    </row>
    <row r="245" spans="1:16" hidden="1" x14ac:dyDescent="0.3">
      <c r="A245" s="7">
        <v>45351</v>
      </c>
      <c r="B245" s="28" t="s">
        <v>16</v>
      </c>
      <c r="C245" s="9">
        <v>9.9809999999999999</v>
      </c>
      <c r="D245" s="9">
        <v>10.933</v>
      </c>
      <c r="E245" s="19"/>
      <c r="F245" s="19"/>
      <c r="G245" s="20" t="s">
        <v>22</v>
      </c>
      <c r="H245" s="12">
        <v>10000</v>
      </c>
      <c r="I245" s="13"/>
      <c r="J245" s="11"/>
      <c r="K245" s="29">
        <f t="shared" si="34"/>
        <v>-99810</v>
      </c>
      <c r="L245" s="15"/>
      <c r="M245" s="15"/>
      <c r="N245" s="16">
        <f t="shared" si="30"/>
        <v>0</v>
      </c>
      <c r="O245" s="17">
        <f t="shared" si="32"/>
        <v>0</v>
      </c>
      <c r="P245" s="18">
        <f t="shared" si="31"/>
        <v>99810</v>
      </c>
    </row>
    <row r="246" spans="1:16" x14ac:dyDescent="0.3">
      <c r="A246" s="7">
        <v>45351</v>
      </c>
      <c r="B246" s="28" t="s">
        <v>16</v>
      </c>
      <c r="C246" s="9">
        <v>9.9809999999999999</v>
      </c>
      <c r="D246" s="9">
        <v>10.933</v>
      </c>
      <c r="E246" s="19"/>
      <c r="F246" s="19"/>
      <c r="G246" s="20" t="s">
        <v>17</v>
      </c>
      <c r="H246" s="12">
        <v>27000</v>
      </c>
      <c r="I246" s="13">
        <v>6000</v>
      </c>
      <c r="J246" s="11"/>
      <c r="K246" s="29">
        <f t="shared" si="34"/>
        <v>1924.0909090908826</v>
      </c>
      <c r="L246" s="15">
        <v>11.03</v>
      </c>
      <c r="M246" s="15">
        <v>12.15</v>
      </c>
      <c r="N246" s="16">
        <f t="shared" si="30"/>
        <v>370710</v>
      </c>
      <c r="O246" s="17">
        <f t="shared" si="32"/>
        <v>337009.09090909088</v>
      </c>
      <c r="P246" s="18">
        <f t="shared" si="31"/>
        <v>335085</v>
      </c>
    </row>
    <row r="247" spans="1:16" x14ac:dyDescent="0.3">
      <c r="A247" s="7">
        <v>45351</v>
      </c>
      <c r="B247" s="28" t="s">
        <v>16</v>
      </c>
      <c r="C247" s="9">
        <v>9.9809999999999999</v>
      </c>
      <c r="D247" s="9">
        <v>10.933</v>
      </c>
      <c r="E247" s="21"/>
      <c r="F247" s="21"/>
      <c r="G247" s="11" t="s">
        <v>37</v>
      </c>
      <c r="H247" s="12"/>
      <c r="I247" s="13">
        <v>33000</v>
      </c>
      <c r="J247" s="11"/>
      <c r="K247" s="29">
        <f t="shared" si="34"/>
        <v>5210.9999999999418</v>
      </c>
      <c r="L247" s="15"/>
      <c r="M247" s="15">
        <v>12.2</v>
      </c>
      <c r="N247" s="16">
        <f t="shared" si="30"/>
        <v>402600</v>
      </c>
      <c r="O247" s="17">
        <f t="shared" si="32"/>
        <v>365999.99999999994</v>
      </c>
      <c r="P247" s="18">
        <f t="shared" si="31"/>
        <v>360789</v>
      </c>
    </row>
    <row r="248" spans="1:16" x14ac:dyDescent="0.3">
      <c r="A248" s="7">
        <v>45351</v>
      </c>
      <c r="B248" s="8" t="s">
        <v>19</v>
      </c>
      <c r="C248" s="9">
        <v>9.9809999999999999</v>
      </c>
      <c r="D248" s="9">
        <v>10.933</v>
      </c>
      <c r="E248" s="12"/>
      <c r="F248" s="12">
        <v>2000</v>
      </c>
      <c r="G248" s="20" t="s">
        <v>17</v>
      </c>
      <c r="H248" s="12"/>
      <c r="I248" s="13">
        <v>2000</v>
      </c>
      <c r="J248" s="11"/>
      <c r="K248" s="29">
        <f t="shared" si="34"/>
        <v>224.90909090908826</v>
      </c>
      <c r="L248" s="15"/>
      <c r="M248" s="15">
        <v>12.15</v>
      </c>
      <c r="N248" s="16">
        <f t="shared" si="30"/>
        <v>24300</v>
      </c>
      <c r="O248" s="17">
        <f t="shared" si="32"/>
        <v>22090.909090909088</v>
      </c>
      <c r="P248" s="18">
        <f t="shared" si="31"/>
        <v>21866</v>
      </c>
    </row>
    <row r="249" spans="1:16" x14ac:dyDescent="0.3">
      <c r="A249" s="7">
        <v>45355</v>
      </c>
      <c r="B249" s="28" t="s">
        <v>16</v>
      </c>
      <c r="C249" s="9">
        <v>10.25</v>
      </c>
      <c r="D249" s="9">
        <v>11.24</v>
      </c>
      <c r="E249" s="10">
        <v>22000</v>
      </c>
      <c r="F249" s="10">
        <v>28000</v>
      </c>
      <c r="G249" s="11" t="s">
        <v>17</v>
      </c>
      <c r="H249" s="12">
        <v>7000</v>
      </c>
      <c r="I249" s="13">
        <v>10000</v>
      </c>
      <c r="J249" s="11"/>
      <c r="K249" s="14">
        <f>O249-P249</f>
        <v>486.36363636361784</v>
      </c>
      <c r="L249" s="15">
        <v>11.3</v>
      </c>
      <c r="M249" s="15">
        <v>12.4</v>
      </c>
      <c r="N249" s="16">
        <f t="shared" si="30"/>
        <v>203100</v>
      </c>
      <c r="O249" s="17">
        <f>N249/1.1</f>
        <v>184636.36363636362</v>
      </c>
      <c r="P249" s="18">
        <f t="shared" si="31"/>
        <v>184150</v>
      </c>
    </row>
    <row r="250" spans="1:16" x14ac:dyDescent="0.3">
      <c r="A250" s="7">
        <v>45355</v>
      </c>
      <c r="B250" s="28" t="s">
        <v>16</v>
      </c>
      <c r="C250" s="9">
        <v>10.25</v>
      </c>
      <c r="D250" s="9">
        <v>11.24</v>
      </c>
      <c r="E250" s="19"/>
      <c r="F250" s="19"/>
      <c r="G250" s="11" t="s">
        <v>28</v>
      </c>
      <c r="H250" s="12">
        <v>15000</v>
      </c>
      <c r="I250" s="13">
        <v>10000</v>
      </c>
      <c r="J250" s="31">
        <v>295636.36</v>
      </c>
      <c r="K250" s="14">
        <f>O250-P250</f>
        <v>29486.363636363589</v>
      </c>
      <c r="L250" s="14">
        <v>12.38</v>
      </c>
      <c r="M250" s="15">
        <v>13.95</v>
      </c>
      <c r="N250" s="16">
        <f t="shared" si="30"/>
        <v>325200</v>
      </c>
      <c r="O250" s="17">
        <f t="shared" ref="O250:O312" si="35">N250/1.1</f>
        <v>295636.36363636359</v>
      </c>
      <c r="P250" s="18">
        <f t="shared" si="31"/>
        <v>266150</v>
      </c>
    </row>
    <row r="251" spans="1:16" hidden="1" x14ac:dyDescent="0.3">
      <c r="A251" s="7">
        <v>45355</v>
      </c>
      <c r="B251" s="28" t="s">
        <v>16</v>
      </c>
      <c r="C251" s="9">
        <v>10.25</v>
      </c>
      <c r="D251" s="9">
        <v>11.24</v>
      </c>
      <c r="E251" s="21"/>
      <c r="F251" s="21"/>
      <c r="G251" s="11" t="s">
        <v>22</v>
      </c>
      <c r="H251" s="12">
        <v>0</v>
      </c>
      <c r="I251" s="13">
        <v>8000</v>
      </c>
      <c r="J251" s="11"/>
      <c r="K251" s="14">
        <f t="shared" ref="K251:K318" si="36">O251-P251</f>
        <v>-89920</v>
      </c>
      <c r="L251" s="15">
        <v>0</v>
      </c>
      <c r="M251" s="15">
        <v>0</v>
      </c>
      <c r="N251" s="16">
        <f t="shared" si="30"/>
        <v>0</v>
      </c>
      <c r="O251" s="17">
        <f t="shared" si="35"/>
        <v>0</v>
      </c>
      <c r="P251" s="18">
        <f t="shared" si="31"/>
        <v>89920</v>
      </c>
    </row>
    <row r="252" spans="1:16" x14ac:dyDescent="0.3">
      <c r="A252" s="7">
        <v>45355</v>
      </c>
      <c r="B252" s="8" t="s">
        <v>20</v>
      </c>
      <c r="C252" s="9">
        <v>10.081799999999999</v>
      </c>
      <c r="D252" s="9">
        <v>0</v>
      </c>
      <c r="E252" s="12">
        <v>33000</v>
      </c>
      <c r="F252" s="12"/>
      <c r="G252" s="11" t="s">
        <v>33</v>
      </c>
      <c r="H252" s="12">
        <v>33000</v>
      </c>
      <c r="I252" s="12"/>
      <c r="J252" s="11"/>
      <c r="K252" s="14">
        <f t="shared" si="36"/>
        <v>1800.6000000000349</v>
      </c>
      <c r="L252" s="15">
        <v>11.15</v>
      </c>
      <c r="M252" s="15"/>
      <c r="N252" s="16">
        <f t="shared" si="30"/>
        <v>367950</v>
      </c>
      <c r="O252" s="17">
        <f t="shared" si="35"/>
        <v>334500</v>
      </c>
      <c r="P252" s="18">
        <f t="shared" si="31"/>
        <v>332699.39999999997</v>
      </c>
    </row>
    <row r="253" spans="1:16" x14ac:dyDescent="0.3">
      <c r="A253" s="7">
        <v>45356</v>
      </c>
      <c r="B253" s="28" t="s">
        <v>16</v>
      </c>
      <c r="C253" s="9">
        <v>10.25</v>
      </c>
      <c r="D253" s="9">
        <v>11.24</v>
      </c>
      <c r="E253" s="10">
        <v>14000</v>
      </c>
      <c r="F253" s="10">
        <v>18000</v>
      </c>
      <c r="G253" s="11" t="s">
        <v>23</v>
      </c>
      <c r="H253" s="12">
        <v>10000</v>
      </c>
      <c r="I253" s="12">
        <v>3000</v>
      </c>
      <c r="J253" s="11"/>
      <c r="K253" s="14">
        <f t="shared" si="36"/>
        <v>14307.272727272706</v>
      </c>
      <c r="L253" s="15">
        <v>12.37</v>
      </c>
      <c r="M253" s="15">
        <v>13.96</v>
      </c>
      <c r="N253" s="16">
        <f t="shared" si="30"/>
        <v>165580</v>
      </c>
      <c r="O253" s="17">
        <f>N253/1.1</f>
        <v>150527.27272727271</v>
      </c>
      <c r="P253" s="18">
        <f t="shared" si="31"/>
        <v>136220</v>
      </c>
    </row>
    <row r="254" spans="1:16" hidden="1" x14ac:dyDescent="0.3">
      <c r="A254" s="7">
        <v>45356</v>
      </c>
      <c r="B254" s="28" t="s">
        <v>16</v>
      </c>
      <c r="C254" s="9">
        <v>10.25</v>
      </c>
      <c r="D254" s="9">
        <v>11.24</v>
      </c>
      <c r="E254" s="19"/>
      <c r="F254" s="19"/>
      <c r="G254" s="11" t="s">
        <v>22</v>
      </c>
      <c r="H254" s="12">
        <v>4000</v>
      </c>
      <c r="I254" s="12">
        <v>0</v>
      </c>
      <c r="J254" s="11"/>
      <c r="K254" s="14">
        <f t="shared" si="36"/>
        <v>-41000</v>
      </c>
      <c r="L254" s="15">
        <v>0</v>
      </c>
      <c r="M254" s="15">
        <v>0</v>
      </c>
      <c r="N254" s="16">
        <f t="shared" si="30"/>
        <v>0</v>
      </c>
      <c r="O254" s="17">
        <f t="shared" si="35"/>
        <v>0</v>
      </c>
      <c r="P254" s="18">
        <f t="shared" si="31"/>
        <v>41000</v>
      </c>
    </row>
    <row r="255" spans="1:16" x14ac:dyDescent="0.3">
      <c r="A255" s="7">
        <v>45356</v>
      </c>
      <c r="B255" s="28" t="s">
        <v>16</v>
      </c>
      <c r="C255" s="9">
        <v>10.25</v>
      </c>
      <c r="D255" s="9">
        <v>11.24</v>
      </c>
      <c r="E255" s="21"/>
      <c r="F255" s="21"/>
      <c r="G255" s="11" t="s">
        <v>37</v>
      </c>
      <c r="H255" s="12">
        <v>0</v>
      </c>
      <c r="I255" s="12">
        <v>15000</v>
      </c>
      <c r="J255" s="11"/>
      <c r="K255" s="14">
        <f t="shared" si="36"/>
        <v>2263.6363636363531</v>
      </c>
      <c r="L255" s="15">
        <v>0</v>
      </c>
      <c r="M255" s="15">
        <v>12.53</v>
      </c>
      <c r="N255" s="16">
        <f t="shared" si="30"/>
        <v>187950</v>
      </c>
      <c r="O255" s="17">
        <f t="shared" si="35"/>
        <v>170863.63636363635</v>
      </c>
      <c r="P255" s="18">
        <f t="shared" si="31"/>
        <v>168600</v>
      </c>
    </row>
    <row r="256" spans="1:16" x14ac:dyDescent="0.3">
      <c r="A256" s="7">
        <v>45357</v>
      </c>
      <c r="B256" s="28" t="s">
        <v>16</v>
      </c>
      <c r="C256" s="9">
        <v>10.25</v>
      </c>
      <c r="D256" s="9">
        <v>11.24</v>
      </c>
      <c r="E256" s="12">
        <v>29000</v>
      </c>
      <c r="F256" s="12">
        <v>4000</v>
      </c>
      <c r="G256" s="20" t="s">
        <v>17</v>
      </c>
      <c r="H256" s="12">
        <v>29000</v>
      </c>
      <c r="I256" s="12">
        <v>4000</v>
      </c>
      <c r="J256" s="11"/>
      <c r="K256" s="14">
        <f t="shared" si="36"/>
        <v>790</v>
      </c>
      <c r="L256" s="15">
        <v>11.3</v>
      </c>
      <c r="M256" s="15">
        <v>12.4</v>
      </c>
      <c r="N256" s="16">
        <f t="shared" si="30"/>
        <v>377300</v>
      </c>
      <c r="O256" s="17">
        <f t="shared" si="35"/>
        <v>343000</v>
      </c>
      <c r="P256" s="18">
        <f t="shared" si="31"/>
        <v>342210</v>
      </c>
    </row>
    <row r="257" spans="1:16" x14ac:dyDescent="0.3">
      <c r="A257" s="7">
        <v>45357</v>
      </c>
      <c r="B257" s="8" t="s">
        <v>39</v>
      </c>
      <c r="C257" s="9">
        <v>10.061999999999999</v>
      </c>
      <c r="D257" s="22">
        <v>10.81</v>
      </c>
      <c r="E257" s="10">
        <v>46000</v>
      </c>
      <c r="F257" s="10">
        <v>48000</v>
      </c>
      <c r="G257" s="20" t="s">
        <v>33</v>
      </c>
      <c r="H257" s="12">
        <v>17000</v>
      </c>
      <c r="I257" s="13">
        <v>16000</v>
      </c>
      <c r="J257" s="11"/>
      <c r="K257" s="14">
        <f t="shared" si="36"/>
        <v>2231.4545454545296</v>
      </c>
      <c r="L257" s="15">
        <v>11.11</v>
      </c>
      <c r="M257" s="15">
        <v>12</v>
      </c>
      <c r="N257" s="16">
        <f t="shared" si="30"/>
        <v>380870</v>
      </c>
      <c r="O257" s="17">
        <f t="shared" si="35"/>
        <v>346245.45454545453</v>
      </c>
      <c r="P257" s="18">
        <f t="shared" si="31"/>
        <v>344014</v>
      </c>
    </row>
    <row r="258" spans="1:16" x14ac:dyDescent="0.3">
      <c r="A258" s="7">
        <v>45357</v>
      </c>
      <c r="B258" s="8" t="s">
        <v>39</v>
      </c>
      <c r="C258" s="9">
        <v>10.061999999999999</v>
      </c>
      <c r="D258" s="22">
        <v>10.81</v>
      </c>
      <c r="E258" s="19"/>
      <c r="F258" s="19"/>
      <c r="G258" s="11" t="s">
        <v>33</v>
      </c>
      <c r="H258" s="12">
        <v>17000</v>
      </c>
      <c r="I258" s="12">
        <v>16000</v>
      </c>
      <c r="J258" s="11"/>
      <c r="K258" s="14">
        <f t="shared" si="36"/>
        <v>2231.4545454545296</v>
      </c>
      <c r="L258" s="15">
        <v>11.11</v>
      </c>
      <c r="M258" s="15">
        <v>12</v>
      </c>
      <c r="N258" s="16">
        <f t="shared" ref="N258:N325" si="37">(H258*L258)+(I258*M258)</f>
        <v>380870</v>
      </c>
      <c r="O258" s="17">
        <f t="shared" si="35"/>
        <v>346245.45454545453</v>
      </c>
      <c r="P258" s="18">
        <f t="shared" ref="P258:P325" si="38">(C258*H258)+(I258*D258)</f>
        <v>344014</v>
      </c>
    </row>
    <row r="259" spans="1:16" x14ac:dyDescent="0.3">
      <c r="A259" s="7">
        <v>45357</v>
      </c>
      <c r="B259" s="8" t="s">
        <v>39</v>
      </c>
      <c r="C259" s="9">
        <v>10.061999999999999</v>
      </c>
      <c r="D259" s="22">
        <v>10.81</v>
      </c>
      <c r="E259" s="19"/>
      <c r="F259" s="19"/>
      <c r="G259" s="20" t="s">
        <v>18</v>
      </c>
      <c r="H259" s="12">
        <v>4000</v>
      </c>
      <c r="I259" s="13">
        <v>10000</v>
      </c>
      <c r="J259" s="11"/>
      <c r="K259" s="14">
        <f t="shared" si="36"/>
        <v>3106.5454545454413</v>
      </c>
      <c r="L259" s="15">
        <v>11.15</v>
      </c>
      <c r="M259" s="15">
        <v>12.2</v>
      </c>
      <c r="N259" s="16">
        <f t="shared" si="37"/>
        <v>166600</v>
      </c>
      <c r="O259" s="17">
        <f t="shared" si="35"/>
        <v>151454.54545454544</v>
      </c>
      <c r="P259" s="18">
        <f t="shared" si="38"/>
        <v>148348</v>
      </c>
    </row>
    <row r="260" spans="1:16" x14ac:dyDescent="0.3">
      <c r="A260" s="7">
        <v>45357</v>
      </c>
      <c r="B260" s="8" t="s">
        <v>39</v>
      </c>
      <c r="C260" s="9">
        <v>10.061999999999999</v>
      </c>
      <c r="D260" s="22">
        <v>10.81</v>
      </c>
      <c r="E260" s="21"/>
      <c r="F260" s="21"/>
      <c r="G260" s="20" t="s">
        <v>18</v>
      </c>
      <c r="H260" s="12">
        <v>8000</v>
      </c>
      <c r="I260" s="13">
        <v>6000</v>
      </c>
      <c r="J260" s="11"/>
      <c r="K260" s="14">
        <f t="shared" si="36"/>
        <v>2280.3636363636178</v>
      </c>
      <c r="L260" s="15">
        <v>11.15</v>
      </c>
      <c r="M260" s="15">
        <v>12.2</v>
      </c>
      <c r="N260" s="16">
        <f t="shared" si="37"/>
        <v>162400</v>
      </c>
      <c r="O260" s="17">
        <f t="shared" si="35"/>
        <v>147636.36363636362</v>
      </c>
      <c r="P260" s="18">
        <f t="shared" si="38"/>
        <v>145356</v>
      </c>
    </row>
    <row r="261" spans="1:16" x14ac:dyDescent="0.3">
      <c r="A261" s="7">
        <v>45357</v>
      </c>
      <c r="B261" s="8" t="s">
        <v>20</v>
      </c>
      <c r="C261" s="9">
        <v>10.081799999999999</v>
      </c>
      <c r="D261" s="9">
        <v>0</v>
      </c>
      <c r="E261" s="10">
        <v>33000</v>
      </c>
      <c r="F261" s="12"/>
      <c r="G261" s="11" t="s">
        <v>30</v>
      </c>
      <c r="H261" s="12">
        <v>11000</v>
      </c>
      <c r="I261" s="13"/>
      <c r="J261" s="11"/>
      <c r="K261" s="14">
        <f t="shared" si="36"/>
        <v>2000.1999999999825</v>
      </c>
      <c r="L261" s="15">
        <v>11.29</v>
      </c>
      <c r="M261" s="15"/>
      <c r="N261" s="16">
        <f t="shared" si="37"/>
        <v>124189.99999999999</v>
      </c>
      <c r="O261" s="17">
        <f t="shared" si="35"/>
        <v>112899.99999999997</v>
      </c>
      <c r="P261" s="18">
        <f t="shared" si="38"/>
        <v>110899.79999999999</v>
      </c>
    </row>
    <row r="262" spans="1:16" hidden="1" x14ac:dyDescent="0.3">
      <c r="A262" s="7">
        <v>45357</v>
      </c>
      <c r="B262" s="8" t="s">
        <v>20</v>
      </c>
      <c r="C262" s="9">
        <v>10.081799999999999</v>
      </c>
      <c r="D262" s="9">
        <v>0</v>
      </c>
      <c r="E262" s="19"/>
      <c r="F262" s="12"/>
      <c r="G262" s="20" t="s">
        <v>22</v>
      </c>
      <c r="H262" s="12">
        <v>2000</v>
      </c>
      <c r="I262" s="13"/>
      <c r="J262" s="11"/>
      <c r="K262" s="14">
        <f t="shared" si="36"/>
        <v>-20163.599999999999</v>
      </c>
      <c r="L262" s="15"/>
      <c r="M262" s="15"/>
      <c r="N262" s="16">
        <f t="shared" si="37"/>
        <v>0</v>
      </c>
      <c r="O262" s="17">
        <f t="shared" si="35"/>
        <v>0</v>
      </c>
      <c r="P262" s="18">
        <f t="shared" si="38"/>
        <v>20163.599999999999</v>
      </c>
    </row>
    <row r="263" spans="1:16" x14ac:dyDescent="0.3">
      <c r="A263" s="7">
        <v>45357</v>
      </c>
      <c r="B263" s="8" t="s">
        <v>20</v>
      </c>
      <c r="C263" s="9">
        <v>10.081799999999999</v>
      </c>
      <c r="D263" s="9">
        <v>0</v>
      </c>
      <c r="E263" s="21"/>
      <c r="F263" s="12"/>
      <c r="G263" s="20" t="s">
        <v>21</v>
      </c>
      <c r="H263" s="12">
        <v>20000</v>
      </c>
      <c r="I263" s="13"/>
      <c r="J263" s="11"/>
      <c r="K263" s="14">
        <f t="shared" si="36"/>
        <v>24545.818181818177</v>
      </c>
      <c r="L263" s="15">
        <v>12.44</v>
      </c>
      <c r="M263" s="15">
        <v>13.98</v>
      </c>
      <c r="N263" s="16">
        <f t="shared" si="37"/>
        <v>248800</v>
      </c>
      <c r="O263" s="17">
        <f t="shared" si="35"/>
        <v>226181.81818181818</v>
      </c>
      <c r="P263" s="18">
        <f t="shared" si="38"/>
        <v>201636</v>
      </c>
    </row>
    <row r="264" spans="1:16" x14ac:dyDescent="0.3">
      <c r="A264" s="7">
        <v>45357</v>
      </c>
      <c r="B264" s="8" t="s">
        <v>19</v>
      </c>
      <c r="C264" s="9">
        <v>10.25</v>
      </c>
      <c r="D264" s="9">
        <v>11.24</v>
      </c>
      <c r="E264" s="12"/>
      <c r="F264" s="12">
        <v>2000</v>
      </c>
      <c r="G264" s="20" t="s">
        <v>21</v>
      </c>
      <c r="H264" s="12"/>
      <c r="I264" s="13">
        <v>2000</v>
      </c>
      <c r="J264" s="11"/>
      <c r="K264" s="14">
        <f t="shared" si="36"/>
        <v>2938.1818181818162</v>
      </c>
      <c r="L264" s="15">
        <v>12.44</v>
      </c>
      <c r="M264" s="15">
        <v>13.98</v>
      </c>
      <c r="N264" s="16">
        <f t="shared" si="37"/>
        <v>27960</v>
      </c>
      <c r="O264" s="17">
        <f t="shared" si="35"/>
        <v>25418.181818181816</v>
      </c>
      <c r="P264" s="18">
        <f t="shared" si="38"/>
        <v>22480</v>
      </c>
    </row>
    <row r="265" spans="1:16" x14ac:dyDescent="0.3">
      <c r="A265" s="7">
        <v>45358</v>
      </c>
      <c r="B265" s="8" t="s">
        <v>20</v>
      </c>
      <c r="C265" s="9">
        <v>10.081799999999999</v>
      </c>
      <c r="D265" s="9">
        <v>0</v>
      </c>
      <c r="E265" s="12">
        <v>32000</v>
      </c>
      <c r="F265" s="12"/>
      <c r="G265" s="11" t="s">
        <v>31</v>
      </c>
      <c r="H265" s="12">
        <v>32000</v>
      </c>
      <c r="I265" s="13"/>
      <c r="J265" s="11"/>
      <c r="K265" s="14">
        <f t="shared" si="36"/>
        <v>29382.400000000023</v>
      </c>
      <c r="L265" s="15">
        <v>12.1</v>
      </c>
      <c r="M265" s="15"/>
      <c r="N265" s="16">
        <f t="shared" si="37"/>
        <v>387200</v>
      </c>
      <c r="O265" s="17">
        <f t="shared" si="35"/>
        <v>352000</v>
      </c>
      <c r="P265" s="18">
        <f t="shared" si="38"/>
        <v>322617.59999999998</v>
      </c>
    </row>
    <row r="266" spans="1:16" x14ac:dyDescent="0.3">
      <c r="A266" s="7">
        <v>45358</v>
      </c>
      <c r="B266" s="8" t="s">
        <v>39</v>
      </c>
      <c r="C266" s="9">
        <v>10.061999999999999</v>
      </c>
      <c r="D266" s="22">
        <v>10.81</v>
      </c>
      <c r="E266" s="10">
        <v>78000</v>
      </c>
      <c r="F266" s="10">
        <v>5000</v>
      </c>
      <c r="G266" s="20" t="s">
        <v>33</v>
      </c>
      <c r="H266" s="12">
        <v>14000</v>
      </c>
      <c r="I266" s="13">
        <v>3000</v>
      </c>
      <c r="J266" s="11"/>
      <c r="K266" s="14">
        <f t="shared" si="36"/>
        <v>829.27272727270611</v>
      </c>
      <c r="L266" s="15">
        <v>11.11</v>
      </c>
      <c r="M266" s="15">
        <v>12</v>
      </c>
      <c r="N266" s="16">
        <f t="shared" si="37"/>
        <v>191540</v>
      </c>
      <c r="O266" s="17">
        <f t="shared" si="35"/>
        <v>174127.27272727271</v>
      </c>
      <c r="P266" s="18">
        <f t="shared" si="38"/>
        <v>173298</v>
      </c>
    </row>
    <row r="267" spans="1:16" x14ac:dyDescent="0.3">
      <c r="A267" s="7">
        <v>45358</v>
      </c>
      <c r="B267" s="8" t="s">
        <v>39</v>
      </c>
      <c r="C267" s="9">
        <v>10.061999999999999</v>
      </c>
      <c r="D267" s="22">
        <v>10.81</v>
      </c>
      <c r="E267" s="19"/>
      <c r="F267" s="19"/>
      <c r="G267" s="20" t="s">
        <v>33</v>
      </c>
      <c r="H267" s="12">
        <v>33000</v>
      </c>
      <c r="I267" s="13"/>
      <c r="J267" s="11"/>
      <c r="K267" s="14">
        <f t="shared" si="36"/>
        <v>1254</v>
      </c>
      <c r="L267" s="15">
        <v>11.11</v>
      </c>
      <c r="M267" s="15">
        <v>12</v>
      </c>
      <c r="N267" s="16">
        <f t="shared" si="37"/>
        <v>366630</v>
      </c>
      <c r="O267" s="17">
        <f t="shared" si="35"/>
        <v>333300</v>
      </c>
      <c r="P267" s="18">
        <f t="shared" si="38"/>
        <v>332046</v>
      </c>
    </row>
    <row r="268" spans="1:16" x14ac:dyDescent="0.3">
      <c r="A268" s="7">
        <v>45358</v>
      </c>
      <c r="B268" s="8" t="s">
        <v>39</v>
      </c>
      <c r="C268" s="9">
        <v>10.061999999999999</v>
      </c>
      <c r="D268" s="22">
        <v>10.81</v>
      </c>
      <c r="E268" s="21"/>
      <c r="F268" s="21"/>
      <c r="G268" s="20" t="s">
        <v>33</v>
      </c>
      <c r="H268" s="12">
        <v>31000</v>
      </c>
      <c r="I268" s="13">
        <v>2000</v>
      </c>
      <c r="J268" s="11"/>
      <c r="K268" s="14">
        <f t="shared" si="36"/>
        <v>1376.1818181817653</v>
      </c>
      <c r="L268" s="15">
        <v>11.11</v>
      </c>
      <c r="M268" s="15">
        <v>12</v>
      </c>
      <c r="N268" s="16">
        <f t="shared" si="37"/>
        <v>368410</v>
      </c>
      <c r="O268" s="17">
        <f t="shared" si="35"/>
        <v>334918.18181818177</v>
      </c>
      <c r="P268" s="18">
        <f t="shared" si="38"/>
        <v>333542</v>
      </c>
    </row>
    <row r="269" spans="1:16" x14ac:dyDescent="0.3">
      <c r="A269" s="7">
        <v>45359</v>
      </c>
      <c r="B269" s="28" t="s">
        <v>16</v>
      </c>
      <c r="C269" s="9">
        <v>10.25</v>
      </c>
      <c r="D269" s="9">
        <v>11.24</v>
      </c>
      <c r="E269" s="10">
        <v>67000</v>
      </c>
      <c r="F269" s="10">
        <v>14000</v>
      </c>
      <c r="G269" s="11" t="s">
        <v>27</v>
      </c>
      <c r="H269" s="12">
        <v>27000</v>
      </c>
      <c r="I269" s="12">
        <v>2000</v>
      </c>
      <c r="J269" s="11"/>
      <c r="K269" s="14">
        <f t="shared" si="36"/>
        <v>21670</v>
      </c>
      <c r="L269" s="15">
        <v>12.05</v>
      </c>
      <c r="M269" s="15">
        <v>13.82</v>
      </c>
      <c r="N269" s="16">
        <f t="shared" si="37"/>
        <v>352990</v>
      </c>
      <c r="O269" s="17">
        <f t="shared" si="35"/>
        <v>320900</v>
      </c>
      <c r="P269" s="18">
        <f t="shared" si="38"/>
        <v>299230</v>
      </c>
    </row>
    <row r="270" spans="1:16" x14ac:dyDescent="0.3">
      <c r="A270" s="7">
        <v>45359</v>
      </c>
      <c r="B270" s="28" t="s">
        <v>16</v>
      </c>
      <c r="C270" s="9">
        <v>10.25</v>
      </c>
      <c r="D270" s="9">
        <v>11.24</v>
      </c>
      <c r="E270" s="19"/>
      <c r="F270" s="19"/>
      <c r="G270" s="20" t="s">
        <v>23</v>
      </c>
      <c r="H270" s="12">
        <v>4000</v>
      </c>
      <c r="I270" s="12">
        <v>0</v>
      </c>
      <c r="J270" s="11"/>
      <c r="K270" s="14">
        <f t="shared" si="36"/>
        <v>3981.8181818181765</v>
      </c>
      <c r="L270" s="15">
        <v>12.37</v>
      </c>
      <c r="M270" s="15">
        <v>13.96</v>
      </c>
      <c r="N270" s="16">
        <f t="shared" si="37"/>
        <v>49480</v>
      </c>
      <c r="O270" s="17">
        <f t="shared" si="35"/>
        <v>44981.818181818177</v>
      </c>
      <c r="P270" s="18">
        <f t="shared" si="38"/>
        <v>41000</v>
      </c>
    </row>
    <row r="271" spans="1:16" x14ac:dyDescent="0.3">
      <c r="A271" s="7">
        <v>45359</v>
      </c>
      <c r="B271" s="28" t="s">
        <v>16</v>
      </c>
      <c r="C271" s="9">
        <v>10.25</v>
      </c>
      <c r="D271" s="9">
        <v>11.24</v>
      </c>
      <c r="E271" s="19"/>
      <c r="F271" s="19"/>
      <c r="G271" s="20" t="s">
        <v>35</v>
      </c>
      <c r="H271" s="12">
        <v>14000</v>
      </c>
      <c r="I271" s="12">
        <v>3000</v>
      </c>
      <c r="J271" s="11"/>
      <c r="K271" s="14">
        <f t="shared" si="36"/>
        <v>18007.272727272706</v>
      </c>
      <c r="L271" s="15">
        <v>12.35</v>
      </c>
      <c r="M271" s="15">
        <v>13.95</v>
      </c>
      <c r="N271" s="16">
        <f t="shared" si="37"/>
        <v>214750</v>
      </c>
      <c r="O271" s="17">
        <f t="shared" si="35"/>
        <v>195227.27272727271</v>
      </c>
      <c r="P271" s="18">
        <f t="shared" si="38"/>
        <v>177220</v>
      </c>
    </row>
    <row r="272" spans="1:16" x14ac:dyDescent="0.3">
      <c r="A272" s="7">
        <v>45359</v>
      </c>
      <c r="B272" s="28" t="s">
        <v>16</v>
      </c>
      <c r="C272" s="9">
        <v>10.25</v>
      </c>
      <c r="D272" s="9">
        <v>11.24</v>
      </c>
      <c r="E272" s="21"/>
      <c r="F272" s="21"/>
      <c r="G272" s="20" t="s">
        <v>32</v>
      </c>
      <c r="H272" s="12">
        <v>22000</v>
      </c>
      <c r="I272" s="13">
        <v>9000</v>
      </c>
      <c r="J272" s="11"/>
      <c r="K272" s="14">
        <f t="shared" si="36"/>
        <v>2285.4545454545296</v>
      </c>
      <c r="L272" s="15">
        <v>11.35</v>
      </c>
      <c r="M272" s="15">
        <v>12.46</v>
      </c>
      <c r="N272" s="16">
        <f t="shared" si="37"/>
        <v>361840</v>
      </c>
      <c r="O272" s="17">
        <f t="shared" si="35"/>
        <v>328945.45454545453</v>
      </c>
      <c r="P272" s="18">
        <f t="shared" si="38"/>
        <v>326660</v>
      </c>
    </row>
    <row r="273" spans="1:16" x14ac:dyDescent="0.3">
      <c r="A273" s="7">
        <v>45359</v>
      </c>
      <c r="B273" s="8" t="s">
        <v>39</v>
      </c>
      <c r="C273" s="9">
        <v>10.061999999999999</v>
      </c>
      <c r="D273" s="22">
        <v>10.81</v>
      </c>
      <c r="E273" s="10">
        <v>90000</v>
      </c>
      <c r="F273" s="10">
        <v>6000</v>
      </c>
      <c r="G273" s="11" t="s">
        <v>33</v>
      </c>
      <c r="H273" s="12">
        <v>27000</v>
      </c>
      <c r="I273" s="13">
        <v>6000</v>
      </c>
      <c r="J273" s="11"/>
      <c r="K273" s="14">
        <f t="shared" si="36"/>
        <v>1620.5454545454122</v>
      </c>
      <c r="L273" s="15">
        <v>11.11</v>
      </c>
      <c r="M273" s="15">
        <v>12</v>
      </c>
      <c r="N273" s="16">
        <f t="shared" si="37"/>
        <v>371970</v>
      </c>
      <c r="O273" s="17">
        <f t="shared" si="35"/>
        <v>338154.54545454541</v>
      </c>
      <c r="P273" s="18">
        <f t="shared" si="38"/>
        <v>336534</v>
      </c>
    </row>
    <row r="274" spans="1:16" x14ac:dyDescent="0.3">
      <c r="A274" s="7">
        <v>45359</v>
      </c>
      <c r="B274" s="8" t="s">
        <v>39</v>
      </c>
      <c r="C274" s="9">
        <v>10.061999999999999</v>
      </c>
      <c r="D274" s="22">
        <v>10.81</v>
      </c>
      <c r="E274" s="19"/>
      <c r="F274" s="19"/>
      <c r="G274" s="11" t="s">
        <v>33</v>
      </c>
      <c r="H274" s="12">
        <v>33000</v>
      </c>
      <c r="I274" s="13"/>
      <c r="J274" s="11"/>
      <c r="K274" s="14">
        <f t="shared" si="36"/>
        <v>1254</v>
      </c>
      <c r="L274" s="15">
        <v>11.11</v>
      </c>
      <c r="M274" s="15">
        <v>12</v>
      </c>
      <c r="N274" s="16">
        <f t="shared" si="37"/>
        <v>366630</v>
      </c>
      <c r="O274" s="17">
        <f t="shared" si="35"/>
        <v>333300</v>
      </c>
      <c r="P274" s="18">
        <f t="shared" si="38"/>
        <v>332046</v>
      </c>
    </row>
    <row r="275" spans="1:16" x14ac:dyDescent="0.3">
      <c r="A275" s="7">
        <v>45359</v>
      </c>
      <c r="B275" s="8" t="s">
        <v>39</v>
      </c>
      <c r="C275" s="9">
        <v>10.061999999999999</v>
      </c>
      <c r="D275" s="22">
        <v>10.81</v>
      </c>
      <c r="E275" s="21"/>
      <c r="F275" s="21"/>
      <c r="G275" s="11" t="s">
        <v>33</v>
      </c>
      <c r="H275" s="12">
        <v>30000</v>
      </c>
      <c r="I275" s="13"/>
      <c r="J275" s="11"/>
      <c r="K275" s="14">
        <f t="shared" si="36"/>
        <v>1140</v>
      </c>
      <c r="L275" s="15">
        <v>11.11</v>
      </c>
      <c r="M275" s="15">
        <v>12</v>
      </c>
      <c r="N275" s="16">
        <f t="shared" si="37"/>
        <v>333300</v>
      </c>
      <c r="O275" s="17">
        <f t="shared" si="35"/>
        <v>303000</v>
      </c>
      <c r="P275" s="18">
        <f t="shared" si="38"/>
        <v>301860</v>
      </c>
    </row>
    <row r="276" spans="1:16" x14ac:dyDescent="0.3">
      <c r="A276" s="7">
        <v>45360</v>
      </c>
      <c r="B276" s="8" t="s">
        <v>39</v>
      </c>
      <c r="C276" s="9">
        <v>10.061999999999999</v>
      </c>
      <c r="D276" s="22">
        <v>10.81</v>
      </c>
      <c r="E276" s="10">
        <v>35000</v>
      </c>
      <c r="F276" s="10">
        <v>23000</v>
      </c>
      <c r="G276" s="11" t="s">
        <v>32</v>
      </c>
      <c r="H276" s="12">
        <v>20000</v>
      </c>
      <c r="I276" s="13">
        <v>11000</v>
      </c>
      <c r="J276" s="11"/>
      <c r="K276" s="14">
        <f t="shared" si="36"/>
        <v>6577.2727272727061</v>
      </c>
      <c r="L276" s="15">
        <v>11.15</v>
      </c>
      <c r="M276" s="15">
        <v>12.4</v>
      </c>
      <c r="N276" s="16">
        <f t="shared" si="37"/>
        <v>359400</v>
      </c>
      <c r="O276" s="17">
        <f t="shared" si="35"/>
        <v>326727.27272727271</v>
      </c>
      <c r="P276" s="18">
        <f t="shared" si="38"/>
        <v>320150</v>
      </c>
    </row>
    <row r="277" spans="1:16" x14ac:dyDescent="0.3">
      <c r="A277" s="7">
        <v>45363</v>
      </c>
      <c r="B277" s="8" t="s">
        <v>39</v>
      </c>
      <c r="C277" s="9">
        <v>10.061999999999999</v>
      </c>
      <c r="D277" s="22">
        <v>10.81</v>
      </c>
      <c r="E277" s="19"/>
      <c r="F277" s="19"/>
      <c r="G277" s="11" t="s">
        <v>40</v>
      </c>
      <c r="H277" s="12">
        <v>15000</v>
      </c>
      <c r="I277" s="13"/>
      <c r="J277" s="11"/>
      <c r="K277" s="14">
        <f t="shared" si="36"/>
        <v>1797.2727272727061</v>
      </c>
      <c r="L277" s="15">
        <v>11.2</v>
      </c>
      <c r="M277" s="15"/>
      <c r="N277" s="16">
        <f t="shared" si="37"/>
        <v>168000</v>
      </c>
      <c r="O277" s="17">
        <f t="shared" si="35"/>
        <v>152727.27272727271</v>
      </c>
      <c r="P277" s="18">
        <f t="shared" si="38"/>
        <v>150930</v>
      </c>
    </row>
    <row r="278" spans="1:16" x14ac:dyDescent="0.3">
      <c r="A278" s="7">
        <v>45360</v>
      </c>
      <c r="B278" s="8" t="s">
        <v>39</v>
      </c>
      <c r="C278" s="9">
        <v>10.061999999999999</v>
      </c>
      <c r="D278" s="22">
        <v>10.81</v>
      </c>
      <c r="E278" s="21"/>
      <c r="F278" s="21"/>
      <c r="G278" s="20" t="s">
        <v>18</v>
      </c>
      <c r="H278" s="12"/>
      <c r="I278" s="13">
        <v>12000</v>
      </c>
      <c r="J278" s="11"/>
      <c r="K278" s="14">
        <f t="shared" si="36"/>
        <v>3370.9090909090883</v>
      </c>
      <c r="L278" s="15"/>
      <c r="M278" s="15">
        <v>12.2</v>
      </c>
      <c r="N278" s="16">
        <f t="shared" si="37"/>
        <v>146400</v>
      </c>
      <c r="O278" s="17">
        <f t="shared" si="35"/>
        <v>133090.90909090909</v>
      </c>
      <c r="P278" s="18">
        <f t="shared" si="38"/>
        <v>129720</v>
      </c>
    </row>
    <row r="279" spans="1:16" x14ac:dyDescent="0.3">
      <c r="A279" s="7">
        <v>45360</v>
      </c>
      <c r="B279" s="28" t="s">
        <v>16</v>
      </c>
      <c r="C279" s="9">
        <v>10.25</v>
      </c>
      <c r="D279" s="9">
        <v>11.24</v>
      </c>
      <c r="E279" s="12"/>
      <c r="F279" s="12">
        <v>15000</v>
      </c>
      <c r="G279" s="11" t="s">
        <v>37</v>
      </c>
      <c r="H279" s="12"/>
      <c r="I279" s="13">
        <v>15000</v>
      </c>
      <c r="J279" s="11"/>
      <c r="K279" s="14">
        <f t="shared" si="36"/>
        <v>2263.6363636363531</v>
      </c>
      <c r="L279" s="15"/>
      <c r="M279" s="15">
        <v>12.53</v>
      </c>
      <c r="N279" s="16">
        <f t="shared" si="37"/>
        <v>187950</v>
      </c>
      <c r="O279" s="17">
        <f t="shared" si="35"/>
        <v>170863.63636363635</v>
      </c>
      <c r="P279" s="18">
        <f t="shared" si="38"/>
        <v>168600</v>
      </c>
    </row>
    <row r="280" spans="1:16" x14ac:dyDescent="0.3">
      <c r="A280" s="7">
        <v>45362</v>
      </c>
      <c r="B280" s="28" t="s">
        <v>16</v>
      </c>
      <c r="C280" s="9">
        <v>10.25</v>
      </c>
      <c r="D280" s="9">
        <v>11.24</v>
      </c>
      <c r="E280" s="12"/>
      <c r="F280" s="12">
        <v>14000</v>
      </c>
      <c r="G280" s="11" t="s">
        <v>34</v>
      </c>
      <c r="H280" s="12"/>
      <c r="I280" s="13">
        <v>14000</v>
      </c>
      <c r="J280" s="11"/>
      <c r="K280" s="14">
        <f t="shared" si="36"/>
        <v>1730.9090909090883</v>
      </c>
      <c r="L280" s="15"/>
      <c r="M280" s="15">
        <v>12.5</v>
      </c>
      <c r="N280" s="16">
        <f t="shared" si="37"/>
        <v>175000</v>
      </c>
      <c r="O280" s="17">
        <f t="shared" si="35"/>
        <v>159090.90909090909</v>
      </c>
      <c r="P280" s="18">
        <f t="shared" si="38"/>
        <v>157360</v>
      </c>
    </row>
    <row r="281" spans="1:16" x14ac:dyDescent="0.3">
      <c r="A281" s="7">
        <v>45362</v>
      </c>
      <c r="B281" s="8" t="s">
        <v>20</v>
      </c>
      <c r="C281" s="9">
        <v>10.081799999999999</v>
      </c>
      <c r="D281" s="9">
        <v>0</v>
      </c>
      <c r="E281" s="12">
        <v>33000</v>
      </c>
      <c r="F281" s="12"/>
      <c r="G281" s="11" t="s">
        <v>33</v>
      </c>
      <c r="H281" s="12">
        <v>33000</v>
      </c>
      <c r="I281" s="13"/>
      <c r="J281" s="11"/>
      <c r="K281" s="14">
        <f t="shared" si="36"/>
        <v>600.60000000003492</v>
      </c>
      <c r="L281" s="15">
        <v>11.11</v>
      </c>
      <c r="M281" s="15"/>
      <c r="N281" s="16">
        <f t="shared" si="37"/>
        <v>366630</v>
      </c>
      <c r="O281" s="17">
        <f t="shared" si="35"/>
        <v>333300</v>
      </c>
      <c r="P281" s="18">
        <f t="shared" si="38"/>
        <v>332699.39999999997</v>
      </c>
    </row>
    <row r="282" spans="1:16" x14ac:dyDescent="0.3">
      <c r="A282" s="7">
        <v>45363</v>
      </c>
      <c r="B282" s="8" t="s">
        <v>16</v>
      </c>
      <c r="C282" s="9">
        <v>10.25</v>
      </c>
      <c r="D282" s="9">
        <v>11.24</v>
      </c>
      <c r="E282" s="10">
        <v>36000</v>
      </c>
      <c r="F282" s="10">
        <v>11000</v>
      </c>
      <c r="G282" s="11" t="s">
        <v>26</v>
      </c>
      <c r="H282" s="12">
        <v>27000</v>
      </c>
      <c r="I282" s="13">
        <v>6000</v>
      </c>
      <c r="J282" s="11"/>
      <c r="K282" s="14">
        <f t="shared" si="36"/>
        <v>41119.090909090883</v>
      </c>
      <c r="L282" s="15">
        <v>12.58</v>
      </c>
      <c r="M282" s="15">
        <v>14.03</v>
      </c>
      <c r="N282" s="16">
        <f t="shared" si="37"/>
        <v>423840</v>
      </c>
      <c r="O282" s="17">
        <f t="shared" si="35"/>
        <v>385309.09090909088</v>
      </c>
      <c r="P282" s="18">
        <f t="shared" si="38"/>
        <v>344190</v>
      </c>
    </row>
    <row r="283" spans="1:16" x14ac:dyDescent="0.3">
      <c r="A283" s="7">
        <v>45363</v>
      </c>
      <c r="B283" s="8" t="s">
        <v>16</v>
      </c>
      <c r="C283" s="9">
        <v>10.25</v>
      </c>
      <c r="D283" s="9">
        <v>11.24</v>
      </c>
      <c r="E283" s="19"/>
      <c r="F283" s="19"/>
      <c r="G283" s="11" t="s">
        <v>23</v>
      </c>
      <c r="H283" s="12">
        <v>4000</v>
      </c>
      <c r="I283" s="13">
        <v>3000</v>
      </c>
      <c r="J283" s="11"/>
      <c r="K283" s="14">
        <f t="shared" si="36"/>
        <v>8334.5454545454413</v>
      </c>
      <c r="L283" s="15">
        <v>12.37</v>
      </c>
      <c r="M283" s="15">
        <v>13.96</v>
      </c>
      <c r="N283" s="16">
        <f t="shared" si="37"/>
        <v>91360</v>
      </c>
      <c r="O283" s="17">
        <f t="shared" si="35"/>
        <v>83054.545454545441</v>
      </c>
      <c r="P283" s="18">
        <f t="shared" si="38"/>
        <v>74720</v>
      </c>
    </row>
    <row r="284" spans="1:16" hidden="1" x14ac:dyDescent="0.3">
      <c r="A284" s="7">
        <v>45363</v>
      </c>
      <c r="B284" s="8" t="s">
        <v>16</v>
      </c>
      <c r="C284" s="9">
        <v>10.25</v>
      </c>
      <c r="D284" s="9">
        <v>11.24</v>
      </c>
      <c r="E284" s="21"/>
      <c r="F284" s="21"/>
      <c r="G284" s="11" t="s">
        <v>22</v>
      </c>
      <c r="H284" s="12">
        <v>5000</v>
      </c>
      <c r="I284" s="13">
        <v>2000</v>
      </c>
      <c r="J284" s="11"/>
      <c r="K284" s="14">
        <f t="shared" si="36"/>
        <v>-73730</v>
      </c>
      <c r="L284" s="15"/>
      <c r="M284" s="15"/>
      <c r="N284" s="16">
        <f t="shared" si="37"/>
        <v>0</v>
      </c>
      <c r="O284" s="17">
        <f t="shared" si="35"/>
        <v>0</v>
      </c>
      <c r="P284" s="18">
        <f t="shared" si="38"/>
        <v>73730</v>
      </c>
    </row>
    <row r="285" spans="1:16" x14ac:dyDescent="0.3">
      <c r="A285" s="7">
        <v>45363</v>
      </c>
      <c r="B285" s="8" t="s">
        <v>39</v>
      </c>
      <c r="C285" s="9">
        <v>10.061999999999999</v>
      </c>
      <c r="D285" s="22">
        <v>10.81</v>
      </c>
      <c r="E285" s="10">
        <v>52000</v>
      </c>
      <c r="F285" s="10">
        <v>28000</v>
      </c>
      <c r="G285" s="11" t="s">
        <v>33</v>
      </c>
      <c r="H285" s="12">
        <v>16000</v>
      </c>
      <c r="I285" s="13">
        <v>17000</v>
      </c>
      <c r="J285" s="11"/>
      <c r="K285" s="14">
        <f t="shared" si="36"/>
        <v>2292.5454545454122</v>
      </c>
      <c r="L285" s="15">
        <v>11.11</v>
      </c>
      <c r="M285" s="15">
        <v>12</v>
      </c>
      <c r="N285" s="16">
        <f t="shared" si="37"/>
        <v>381760</v>
      </c>
      <c r="O285" s="17">
        <f t="shared" si="35"/>
        <v>347054.54545454541</v>
      </c>
      <c r="P285" s="18">
        <f t="shared" si="38"/>
        <v>344762</v>
      </c>
    </row>
    <row r="286" spans="1:16" x14ac:dyDescent="0.3">
      <c r="A286" s="7">
        <v>45363</v>
      </c>
      <c r="B286" s="8" t="s">
        <v>39</v>
      </c>
      <c r="C286" s="9">
        <v>10.061999999999999</v>
      </c>
      <c r="D286" s="22">
        <v>10.81</v>
      </c>
      <c r="E286" s="19"/>
      <c r="F286" s="19"/>
      <c r="G286" s="11" t="s">
        <v>33</v>
      </c>
      <c r="H286" s="12">
        <v>24000</v>
      </c>
      <c r="I286" s="13">
        <v>9000</v>
      </c>
      <c r="J286" s="11"/>
      <c r="K286" s="14">
        <f t="shared" si="36"/>
        <v>1803.8181818181765</v>
      </c>
      <c r="L286" s="15">
        <v>11.11</v>
      </c>
      <c r="M286" s="15">
        <v>12</v>
      </c>
      <c r="N286" s="16">
        <f t="shared" si="37"/>
        <v>374640</v>
      </c>
      <c r="O286" s="17">
        <f t="shared" si="35"/>
        <v>340581.81818181818</v>
      </c>
      <c r="P286" s="18">
        <f t="shared" si="38"/>
        <v>338778</v>
      </c>
    </row>
    <row r="287" spans="1:16" x14ac:dyDescent="0.3">
      <c r="A287" s="7">
        <v>45363</v>
      </c>
      <c r="B287" s="8" t="s">
        <v>39</v>
      </c>
      <c r="C287" s="9">
        <v>10.061999999999999</v>
      </c>
      <c r="D287" s="22">
        <v>10.81</v>
      </c>
      <c r="E287" s="21"/>
      <c r="F287" s="21"/>
      <c r="G287" s="20" t="s">
        <v>18</v>
      </c>
      <c r="H287" s="12">
        <v>12000</v>
      </c>
      <c r="I287" s="13">
        <v>2000</v>
      </c>
      <c r="J287" s="11"/>
      <c r="K287" s="14">
        <f t="shared" si="36"/>
        <v>1454.1818181817944</v>
      </c>
      <c r="L287" s="15">
        <v>11.15</v>
      </c>
      <c r="M287" s="15">
        <v>12.2</v>
      </c>
      <c r="N287" s="16">
        <f t="shared" si="37"/>
        <v>158200</v>
      </c>
      <c r="O287" s="17">
        <f t="shared" si="35"/>
        <v>143818.18181818179</v>
      </c>
      <c r="P287" s="18">
        <f t="shared" si="38"/>
        <v>142364</v>
      </c>
    </row>
    <row r="288" spans="1:16" x14ac:dyDescent="0.3">
      <c r="A288" s="7">
        <v>45364</v>
      </c>
      <c r="B288" s="8" t="s">
        <v>39</v>
      </c>
      <c r="C288" s="9">
        <v>10.061999999999999</v>
      </c>
      <c r="D288" s="22">
        <v>10.81</v>
      </c>
      <c r="E288" s="10">
        <v>49000</v>
      </c>
      <c r="F288" s="10">
        <v>17000</v>
      </c>
      <c r="G288" s="11" t="s">
        <v>33</v>
      </c>
      <c r="H288" s="12">
        <v>33000</v>
      </c>
      <c r="I288" s="13"/>
      <c r="J288" s="11"/>
      <c r="K288" s="14">
        <f t="shared" si="36"/>
        <v>1254</v>
      </c>
      <c r="L288" s="15">
        <v>11.11</v>
      </c>
      <c r="M288" s="15">
        <v>12</v>
      </c>
      <c r="N288" s="16">
        <f t="shared" si="37"/>
        <v>366630</v>
      </c>
      <c r="O288" s="17">
        <f t="shared" si="35"/>
        <v>333300</v>
      </c>
      <c r="P288" s="18">
        <f t="shared" si="38"/>
        <v>332046</v>
      </c>
    </row>
    <row r="289" spans="1:17" x14ac:dyDescent="0.3">
      <c r="A289" s="7">
        <v>45364</v>
      </c>
      <c r="B289" s="8" t="s">
        <v>39</v>
      </c>
      <c r="C289" s="9">
        <v>10.061999999999999</v>
      </c>
      <c r="D289" s="22">
        <v>10.81</v>
      </c>
      <c r="E289" s="21"/>
      <c r="F289" s="21"/>
      <c r="G289" s="11" t="s">
        <v>33</v>
      </c>
      <c r="H289" s="12">
        <v>16000</v>
      </c>
      <c r="I289" s="13">
        <v>17000</v>
      </c>
      <c r="J289" s="11"/>
      <c r="K289" s="14">
        <f t="shared" si="36"/>
        <v>2292.5454545454122</v>
      </c>
      <c r="L289" s="15">
        <v>11.11</v>
      </c>
      <c r="M289" s="15">
        <v>12</v>
      </c>
      <c r="N289" s="16">
        <f t="shared" si="37"/>
        <v>381760</v>
      </c>
      <c r="O289" s="17">
        <f t="shared" si="35"/>
        <v>347054.54545454541</v>
      </c>
      <c r="P289" s="18">
        <f t="shared" si="38"/>
        <v>344762</v>
      </c>
    </row>
    <row r="290" spans="1:17" x14ac:dyDescent="0.3">
      <c r="A290" s="7">
        <v>45365</v>
      </c>
      <c r="B290" s="8" t="s">
        <v>16</v>
      </c>
      <c r="C290" s="9">
        <v>10.25</v>
      </c>
      <c r="D290" s="9">
        <v>11.24</v>
      </c>
      <c r="E290" s="10">
        <v>27000</v>
      </c>
      <c r="F290" s="10">
        <v>6000</v>
      </c>
      <c r="G290" s="26" t="s">
        <v>21</v>
      </c>
      <c r="H290" s="12">
        <v>21000</v>
      </c>
      <c r="I290" s="13">
        <v>4000</v>
      </c>
      <c r="J290" s="11"/>
      <c r="K290" s="14">
        <f t="shared" si="36"/>
        <v>28117.272727272706</v>
      </c>
      <c r="L290" s="15">
        <v>12.44</v>
      </c>
      <c r="M290" s="15">
        <v>13.98</v>
      </c>
      <c r="N290" s="16">
        <f t="shared" si="37"/>
        <v>317160</v>
      </c>
      <c r="O290" s="17">
        <f t="shared" si="35"/>
        <v>288327.27272727271</v>
      </c>
      <c r="P290" s="18">
        <f t="shared" si="38"/>
        <v>260210</v>
      </c>
    </row>
    <row r="291" spans="1:17" x14ac:dyDescent="0.3">
      <c r="A291" s="7">
        <v>45365</v>
      </c>
      <c r="B291" s="8" t="s">
        <v>16</v>
      </c>
      <c r="C291" s="9">
        <v>10.25</v>
      </c>
      <c r="D291" s="9">
        <v>11.24</v>
      </c>
      <c r="E291" s="21"/>
      <c r="F291" s="21"/>
      <c r="G291" s="20" t="s">
        <v>23</v>
      </c>
      <c r="H291" s="12">
        <v>6000</v>
      </c>
      <c r="I291" s="13">
        <v>2000</v>
      </c>
      <c r="J291" s="11"/>
      <c r="K291" s="14">
        <f t="shared" si="36"/>
        <v>8874.5454545454413</v>
      </c>
      <c r="L291" s="15">
        <v>12.37</v>
      </c>
      <c r="M291" s="15">
        <v>13.96</v>
      </c>
      <c r="N291" s="16">
        <f t="shared" si="37"/>
        <v>102140</v>
      </c>
      <c r="O291" s="17">
        <f t="shared" si="35"/>
        <v>92854.545454545441</v>
      </c>
      <c r="P291" s="18">
        <f t="shared" si="38"/>
        <v>83980</v>
      </c>
    </row>
    <row r="292" spans="1:17" x14ac:dyDescent="0.3">
      <c r="A292" s="7">
        <v>45365</v>
      </c>
      <c r="B292" s="8" t="s">
        <v>39</v>
      </c>
      <c r="C292" s="9">
        <v>10.061999999999999</v>
      </c>
      <c r="D292" s="22">
        <v>10.81</v>
      </c>
      <c r="E292" s="10">
        <v>58000</v>
      </c>
      <c r="F292" s="10">
        <v>4000</v>
      </c>
      <c r="G292" s="20" t="s">
        <v>33</v>
      </c>
      <c r="H292" s="12">
        <v>33000</v>
      </c>
      <c r="I292" s="13"/>
      <c r="J292" s="11"/>
      <c r="K292" s="14">
        <f t="shared" si="36"/>
        <v>1254</v>
      </c>
      <c r="L292" s="15">
        <v>11.11</v>
      </c>
      <c r="M292" s="15">
        <v>12</v>
      </c>
      <c r="N292" s="16">
        <f t="shared" si="37"/>
        <v>366630</v>
      </c>
      <c r="O292" s="17">
        <f t="shared" si="35"/>
        <v>333300</v>
      </c>
      <c r="P292" s="18">
        <f t="shared" si="38"/>
        <v>332046</v>
      </c>
    </row>
    <row r="293" spans="1:17" x14ac:dyDescent="0.3">
      <c r="A293" s="7">
        <v>45365</v>
      </c>
      <c r="B293" s="8" t="s">
        <v>39</v>
      </c>
      <c r="C293" s="9">
        <v>10.061999999999999</v>
      </c>
      <c r="D293" s="22">
        <v>10.81</v>
      </c>
      <c r="E293" s="19"/>
      <c r="F293" s="19"/>
      <c r="G293" s="11" t="s">
        <v>33</v>
      </c>
      <c r="H293" s="12">
        <v>10000</v>
      </c>
      <c r="I293" s="13">
        <v>4000</v>
      </c>
      <c r="J293" s="11"/>
      <c r="K293" s="14">
        <f t="shared" si="36"/>
        <v>776.36363636361784</v>
      </c>
      <c r="L293" s="15">
        <v>11.11</v>
      </c>
      <c r="M293" s="15">
        <v>12</v>
      </c>
      <c r="N293" s="16">
        <f t="shared" si="37"/>
        <v>159100</v>
      </c>
      <c r="O293" s="17">
        <f t="shared" si="35"/>
        <v>144636.36363636362</v>
      </c>
      <c r="P293" s="18">
        <f t="shared" si="38"/>
        <v>143860</v>
      </c>
    </row>
    <row r="294" spans="1:17" x14ac:dyDescent="0.3">
      <c r="A294" s="7">
        <v>45365</v>
      </c>
      <c r="B294" s="8" t="s">
        <v>39</v>
      </c>
      <c r="C294" s="9">
        <v>10.061999999999999</v>
      </c>
      <c r="D294" s="22">
        <v>10.81</v>
      </c>
      <c r="E294" s="21"/>
      <c r="F294" s="21"/>
      <c r="G294" s="20" t="s">
        <v>33</v>
      </c>
      <c r="H294" s="12">
        <v>15000</v>
      </c>
      <c r="I294" s="13"/>
      <c r="J294" s="11"/>
      <c r="K294" s="14">
        <f t="shared" si="36"/>
        <v>570</v>
      </c>
      <c r="L294" s="15">
        <v>11.11</v>
      </c>
      <c r="M294" s="15">
        <v>12</v>
      </c>
      <c r="N294" s="16">
        <f t="shared" si="37"/>
        <v>166650</v>
      </c>
      <c r="O294" s="17">
        <f t="shared" si="35"/>
        <v>151500</v>
      </c>
      <c r="P294" s="18">
        <f t="shared" si="38"/>
        <v>150930</v>
      </c>
      <c r="Q294" s="32"/>
    </row>
    <row r="295" spans="1:17" x14ac:dyDescent="0.3">
      <c r="A295" s="7">
        <v>45366</v>
      </c>
      <c r="B295" s="8" t="s">
        <v>41</v>
      </c>
      <c r="C295" s="9">
        <f>11.05/1.1</f>
        <v>10.045454545454545</v>
      </c>
      <c r="D295" s="22">
        <v>0</v>
      </c>
      <c r="E295" s="10">
        <v>116000</v>
      </c>
      <c r="F295" s="12"/>
      <c r="G295" s="20" t="s">
        <v>17</v>
      </c>
      <c r="H295" s="12">
        <v>33000</v>
      </c>
      <c r="I295" s="13"/>
      <c r="J295" s="11"/>
      <c r="K295" s="14">
        <f t="shared" si="36"/>
        <v>600</v>
      </c>
      <c r="L295" s="15">
        <v>11.07</v>
      </c>
      <c r="M295" s="15">
        <v>0</v>
      </c>
      <c r="N295" s="16">
        <f t="shared" si="37"/>
        <v>365310</v>
      </c>
      <c r="O295" s="17">
        <f t="shared" si="35"/>
        <v>332100</v>
      </c>
      <c r="P295" s="18">
        <f t="shared" si="38"/>
        <v>331500</v>
      </c>
      <c r="Q295" s="32"/>
    </row>
    <row r="296" spans="1:17" x14ac:dyDescent="0.3">
      <c r="A296" s="7">
        <v>45366</v>
      </c>
      <c r="B296" s="8" t="s">
        <v>41</v>
      </c>
      <c r="C296" s="9">
        <f t="shared" ref="C296:C298" si="39">11.05/1.1</f>
        <v>10.045454545454545</v>
      </c>
      <c r="D296" s="22">
        <v>0</v>
      </c>
      <c r="E296" s="19"/>
      <c r="F296" s="12"/>
      <c r="G296" s="11" t="s">
        <v>17</v>
      </c>
      <c r="H296" s="12">
        <v>33000</v>
      </c>
      <c r="I296" s="13"/>
      <c r="J296" s="11"/>
      <c r="K296" s="14">
        <f t="shared" si="36"/>
        <v>600</v>
      </c>
      <c r="L296" s="15">
        <v>11.07</v>
      </c>
      <c r="M296" s="15">
        <v>0</v>
      </c>
      <c r="N296" s="16">
        <f t="shared" si="37"/>
        <v>365310</v>
      </c>
      <c r="O296" s="17">
        <f t="shared" si="35"/>
        <v>332100</v>
      </c>
      <c r="P296" s="18">
        <f t="shared" si="38"/>
        <v>331500</v>
      </c>
      <c r="Q296" s="32"/>
    </row>
    <row r="297" spans="1:17" x14ac:dyDescent="0.3">
      <c r="A297" s="7">
        <v>45366</v>
      </c>
      <c r="B297" s="8" t="s">
        <v>41</v>
      </c>
      <c r="C297" s="9">
        <f t="shared" si="39"/>
        <v>10.045454545454545</v>
      </c>
      <c r="D297" s="22">
        <v>0</v>
      </c>
      <c r="E297" s="19"/>
      <c r="F297" s="12"/>
      <c r="G297" s="20" t="s">
        <v>17</v>
      </c>
      <c r="H297" s="12">
        <v>33000</v>
      </c>
      <c r="I297" s="13"/>
      <c r="J297" s="11"/>
      <c r="K297" s="14">
        <f t="shared" si="36"/>
        <v>600</v>
      </c>
      <c r="L297" s="15">
        <v>11.07</v>
      </c>
      <c r="M297" s="15">
        <v>0</v>
      </c>
      <c r="N297" s="16">
        <f t="shared" si="37"/>
        <v>365310</v>
      </c>
      <c r="O297" s="17">
        <f t="shared" si="35"/>
        <v>332100</v>
      </c>
      <c r="P297" s="18">
        <f t="shared" si="38"/>
        <v>331500</v>
      </c>
      <c r="Q297" s="32"/>
    </row>
    <row r="298" spans="1:17" x14ac:dyDescent="0.3">
      <c r="A298" s="7">
        <v>45367</v>
      </c>
      <c r="B298" s="8" t="s">
        <v>41</v>
      </c>
      <c r="C298" s="9">
        <f t="shared" si="39"/>
        <v>10.045454545454545</v>
      </c>
      <c r="D298" s="22">
        <v>0</v>
      </c>
      <c r="E298" s="21"/>
      <c r="F298" s="12"/>
      <c r="G298" s="20" t="s">
        <v>17</v>
      </c>
      <c r="H298" s="12">
        <v>17000</v>
      </c>
      <c r="I298" s="13"/>
      <c r="J298" s="11"/>
      <c r="K298" s="14">
        <f>O298-P298</f>
        <v>309.09090909091174</v>
      </c>
      <c r="L298" s="15">
        <v>11.07</v>
      </c>
      <c r="M298" s="15">
        <v>0</v>
      </c>
      <c r="N298" s="16">
        <f>(H298*L298+(I298*M298))</f>
        <v>188190</v>
      </c>
      <c r="O298" s="17">
        <f t="shared" si="35"/>
        <v>171081.81818181818</v>
      </c>
      <c r="P298" s="18">
        <f t="shared" si="38"/>
        <v>170772.72727272726</v>
      </c>
      <c r="Q298" s="32"/>
    </row>
    <row r="299" spans="1:17" x14ac:dyDescent="0.3">
      <c r="A299" s="7">
        <v>45366</v>
      </c>
      <c r="B299" s="8" t="s">
        <v>39</v>
      </c>
      <c r="C299" s="9">
        <v>10.061999999999999</v>
      </c>
      <c r="D299" s="22">
        <v>10.81</v>
      </c>
      <c r="E299" s="33"/>
      <c r="F299" s="12"/>
      <c r="G299" s="20" t="s">
        <v>33</v>
      </c>
      <c r="H299" s="12">
        <v>11000</v>
      </c>
      <c r="I299" s="13">
        <v>6000</v>
      </c>
      <c r="J299" s="11"/>
      <c r="K299" s="14"/>
      <c r="L299" s="15">
        <v>11.11</v>
      </c>
      <c r="M299" s="15">
        <v>12</v>
      </c>
      <c r="N299" s="16">
        <f t="shared" ref="N299:N301" si="40">(H299*L299+(I299*M299))</f>
        <v>194210</v>
      </c>
      <c r="O299" s="17"/>
      <c r="P299" s="18"/>
      <c r="Q299" s="32"/>
    </row>
    <row r="300" spans="1:17" x14ac:dyDescent="0.3">
      <c r="A300" s="7">
        <v>45366</v>
      </c>
      <c r="B300" s="8" t="s">
        <v>39</v>
      </c>
      <c r="C300" s="9">
        <v>10.061999999999999</v>
      </c>
      <c r="D300" s="22">
        <v>10.81</v>
      </c>
      <c r="E300" s="33"/>
      <c r="F300" s="12"/>
      <c r="G300" s="20" t="s">
        <v>32</v>
      </c>
      <c r="H300" s="12">
        <v>23000</v>
      </c>
      <c r="I300" s="13">
        <v>8000</v>
      </c>
      <c r="J300" s="11"/>
      <c r="K300" s="14"/>
      <c r="L300" s="15">
        <v>11.15</v>
      </c>
      <c r="M300" s="15">
        <v>12.4</v>
      </c>
      <c r="N300" s="16">
        <f t="shared" si="40"/>
        <v>355650</v>
      </c>
      <c r="O300" s="17"/>
      <c r="P300" s="18"/>
      <c r="Q300" s="32"/>
    </row>
    <row r="301" spans="1:17" x14ac:dyDescent="0.3">
      <c r="A301" s="7">
        <v>45366</v>
      </c>
      <c r="B301" s="8" t="s">
        <v>39</v>
      </c>
      <c r="C301" s="9">
        <v>10.061999999999999</v>
      </c>
      <c r="D301" s="22">
        <v>10.81</v>
      </c>
      <c r="E301" s="33"/>
      <c r="F301" s="12"/>
      <c r="G301" s="20" t="s">
        <v>18</v>
      </c>
      <c r="H301" s="12"/>
      <c r="I301" s="13">
        <v>14000</v>
      </c>
      <c r="J301" s="11"/>
      <c r="K301" s="14"/>
      <c r="L301" s="15"/>
      <c r="M301" s="15">
        <v>12.2</v>
      </c>
      <c r="N301" s="16">
        <f t="shared" si="40"/>
        <v>170800</v>
      </c>
      <c r="O301" s="17"/>
      <c r="P301" s="18"/>
      <c r="Q301" s="32"/>
    </row>
    <row r="302" spans="1:17" x14ac:dyDescent="0.3">
      <c r="A302" s="7">
        <v>45369</v>
      </c>
      <c r="B302" s="8" t="s">
        <v>20</v>
      </c>
      <c r="C302" s="9">
        <v>10.045450000000001</v>
      </c>
      <c r="D302" s="22">
        <v>0</v>
      </c>
      <c r="E302" s="12">
        <v>34000</v>
      </c>
      <c r="F302" s="12"/>
      <c r="G302" s="11" t="s">
        <v>33</v>
      </c>
      <c r="H302" s="12">
        <v>34000</v>
      </c>
      <c r="I302" s="13"/>
      <c r="J302" s="11"/>
      <c r="K302" s="14">
        <f>O302-P302</f>
        <v>618.33636363630649</v>
      </c>
      <c r="L302" s="27">
        <v>11.07</v>
      </c>
      <c r="M302" s="15"/>
      <c r="N302" s="16">
        <f>(H302*L302+(I302*M302))</f>
        <v>376380</v>
      </c>
      <c r="O302" s="17">
        <f>N302/1.1</f>
        <v>342163.63636363635</v>
      </c>
      <c r="P302" s="18">
        <f>(C302*H302)+(I302*D302)</f>
        <v>341545.30000000005</v>
      </c>
      <c r="Q302" s="32"/>
    </row>
    <row r="303" spans="1:17" x14ac:dyDescent="0.3">
      <c r="A303" s="7">
        <v>45369</v>
      </c>
      <c r="B303" s="8" t="s">
        <v>16</v>
      </c>
      <c r="C303" s="9">
        <v>10.25</v>
      </c>
      <c r="D303" s="9">
        <v>11.24</v>
      </c>
      <c r="E303" s="10">
        <v>31000</v>
      </c>
      <c r="F303" s="10">
        <v>2000</v>
      </c>
      <c r="G303" s="11" t="s">
        <v>27</v>
      </c>
      <c r="H303" s="12">
        <v>26000</v>
      </c>
      <c r="I303" s="13">
        <v>2000</v>
      </c>
      <c r="J303" s="11"/>
      <c r="K303" s="14">
        <f t="shared" si="36"/>
        <v>19310.909090909059</v>
      </c>
      <c r="L303" s="15">
        <v>11.98</v>
      </c>
      <c r="M303" s="15">
        <v>13.82</v>
      </c>
      <c r="N303" s="16">
        <f t="shared" si="37"/>
        <v>339120</v>
      </c>
      <c r="O303" s="17">
        <f t="shared" si="35"/>
        <v>308290.90909090906</v>
      </c>
      <c r="P303" s="18">
        <f t="shared" si="38"/>
        <v>288980</v>
      </c>
      <c r="Q303" s="32"/>
    </row>
    <row r="304" spans="1:17" x14ac:dyDescent="0.3">
      <c r="A304" s="7">
        <v>45369</v>
      </c>
      <c r="B304" s="8" t="s">
        <v>16</v>
      </c>
      <c r="C304" s="9">
        <v>10.25</v>
      </c>
      <c r="D304" s="9">
        <v>11.24</v>
      </c>
      <c r="E304" s="21"/>
      <c r="F304" s="21"/>
      <c r="G304" s="11" t="s">
        <v>30</v>
      </c>
      <c r="H304" s="12">
        <v>5000</v>
      </c>
      <c r="I304" s="13"/>
      <c r="J304" s="11"/>
      <c r="K304" s="14">
        <f t="shared" si="36"/>
        <v>68.181818181808922</v>
      </c>
      <c r="L304" s="15">
        <v>11.29</v>
      </c>
      <c r="M304" s="15"/>
      <c r="N304" s="16">
        <f t="shared" si="37"/>
        <v>56449.999999999993</v>
      </c>
      <c r="O304" s="17">
        <f t="shared" si="35"/>
        <v>51318.181818181809</v>
      </c>
      <c r="P304" s="18">
        <f t="shared" si="38"/>
        <v>51250</v>
      </c>
      <c r="Q304" s="32"/>
    </row>
    <row r="305" spans="1:17" x14ac:dyDescent="0.3">
      <c r="A305" s="7">
        <v>45370</v>
      </c>
      <c r="B305" s="8" t="s">
        <v>16</v>
      </c>
      <c r="C305" s="9">
        <v>10.25</v>
      </c>
      <c r="D305" s="9">
        <v>11.24</v>
      </c>
      <c r="E305" s="12"/>
      <c r="F305" s="12">
        <v>14000</v>
      </c>
      <c r="G305" s="11" t="s">
        <v>34</v>
      </c>
      <c r="H305" s="12"/>
      <c r="I305" s="13">
        <v>14000</v>
      </c>
      <c r="J305" s="11"/>
      <c r="K305" s="14">
        <f t="shared" si="36"/>
        <v>458.18181818179437</v>
      </c>
      <c r="L305" s="15"/>
      <c r="M305" s="15">
        <v>12.4</v>
      </c>
      <c r="N305" s="16">
        <f t="shared" si="37"/>
        <v>173600</v>
      </c>
      <c r="O305" s="17">
        <f t="shared" si="35"/>
        <v>157818.18181818179</v>
      </c>
      <c r="P305" s="18">
        <f t="shared" si="38"/>
        <v>157360</v>
      </c>
      <c r="Q305" s="32"/>
    </row>
    <row r="306" spans="1:17" x14ac:dyDescent="0.3">
      <c r="A306" s="7">
        <v>45370</v>
      </c>
      <c r="B306" s="8" t="s">
        <v>39</v>
      </c>
      <c r="C306" s="9">
        <v>10.061999999999999</v>
      </c>
      <c r="D306" s="22">
        <v>10.81</v>
      </c>
      <c r="E306" s="10">
        <v>73000</v>
      </c>
      <c r="F306" s="10">
        <v>27000</v>
      </c>
      <c r="G306" s="11" t="s">
        <v>17</v>
      </c>
      <c r="H306" s="12">
        <v>16000</v>
      </c>
      <c r="I306" s="13">
        <v>19000</v>
      </c>
      <c r="J306" s="11"/>
      <c r="K306" s="14">
        <f t="shared" si="36"/>
        <v>1908.9090909090592</v>
      </c>
      <c r="L306" s="15">
        <v>11.07</v>
      </c>
      <c r="M306" s="15">
        <v>12</v>
      </c>
      <c r="N306" s="16">
        <f t="shared" si="37"/>
        <v>405120</v>
      </c>
      <c r="O306" s="17">
        <f t="shared" si="35"/>
        <v>368290.90909090906</v>
      </c>
      <c r="P306" s="18">
        <f t="shared" si="38"/>
        <v>366382</v>
      </c>
      <c r="Q306" s="32"/>
    </row>
    <row r="307" spans="1:17" x14ac:dyDescent="0.3">
      <c r="A307" s="7">
        <v>45371</v>
      </c>
      <c r="B307" s="8" t="s">
        <v>39</v>
      </c>
      <c r="C307" s="9">
        <v>10.061999999999999</v>
      </c>
      <c r="D307" s="22">
        <v>10.81</v>
      </c>
      <c r="E307" s="19"/>
      <c r="F307" s="19"/>
      <c r="G307" s="11" t="s">
        <v>17</v>
      </c>
      <c r="H307" s="12">
        <v>29000</v>
      </c>
      <c r="I307" s="13">
        <v>4000</v>
      </c>
      <c r="J307" s="11"/>
      <c r="K307" s="14">
        <f t="shared" si="36"/>
        <v>443.81818181817653</v>
      </c>
      <c r="L307" s="15">
        <v>11.07</v>
      </c>
      <c r="M307" s="15">
        <v>12</v>
      </c>
      <c r="N307" s="16">
        <f t="shared" si="37"/>
        <v>369030</v>
      </c>
      <c r="O307" s="17">
        <f t="shared" si="35"/>
        <v>335481.81818181818</v>
      </c>
      <c r="P307" s="18">
        <f t="shared" si="38"/>
        <v>335038</v>
      </c>
      <c r="Q307" s="32"/>
    </row>
    <row r="308" spans="1:17" x14ac:dyDescent="0.3">
      <c r="A308" s="7">
        <v>45370</v>
      </c>
      <c r="B308" s="8" t="s">
        <v>39</v>
      </c>
      <c r="C308" s="9">
        <v>10.061999999999999</v>
      </c>
      <c r="D308" s="22">
        <v>10.81</v>
      </c>
      <c r="E308" s="19"/>
      <c r="F308" s="19"/>
      <c r="G308" s="20" t="s">
        <v>25</v>
      </c>
      <c r="H308" s="12">
        <v>11000</v>
      </c>
      <c r="I308" s="13">
        <v>4000</v>
      </c>
      <c r="J308" s="11"/>
      <c r="K308" s="14">
        <f t="shared" si="36"/>
        <v>22368.909090909088</v>
      </c>
      <c r="L308" s="15">
        <v>12.52</v>
      </c>
      <c r="M308" s="15">
        <v>14.05</v>
      </c>
      <c r="N308" s="16">
        <f t="shared" si="37"/>
        <v>193920</v>
      </c>
      <c r="O308" s="17">
        <f>N308/1.1</f>
        <v>176290.90909090909</v>
      </c>
      <c r="P308" s="18">
        <f t="shared" si="38"/>
        <v>153922</v>
      </c>
      <c r="Q308" s="32"/>
    </row>
    <row r="309" spans="1:17" x14ac:dyDescent="0.3">
      <c r="A309" s="7">
        <v>45370</v>
      </c>
      <c r="B309" s="8" t="s">
        <v>39</v>
      </c>
      <c r="C309" s="9">
        <v>10.061999999999999</v>
      </c>
      <c r="D309" s="22">
        <v>10.81</v>
      </c>
      <c r="E309" s="19"/>
      <c r="F309" s="19"/>
      <c r="G309" s="11" t="s">
        <v>30</v>
      </c>
      <c r="H309" s="12">
        <v>10000</v>
      </c>
      <c r="I309" s="13"/>
      <c r="J309" s="11"/>
      <c r="K309" s="14">
        <f t="shared" si="36"/>
        <v>2016.3636363636178</v>
      </c>
      <c r="L309" s="15">
        <v>11.29</v>
      </c>
      <c r="M309" s="15"/>
      <c r="N309" s="16">
        <f t="shared" si="37"/>
        <v>112899.99999999999</v>
      </c>
      <c r="O309" s="17">
        <f t="shared" si="35"/>
        <v>102636.36363636362</v>
      </c>
      <c r="P309" s="18">
        <f t="shared" si="38"/>
        <v>100620</v>
      </c>
    </row>
    <row r="310" spans="1:17" hidden="1" x14ac:dyDescent="0.3">
      <c r="A310" s="7">
        <v>45370</v>
      </c>
      <c r="B310" s="8" t="s">
        <v>39</v>
      </c>
      <c r="C310" s="9">
        <v>10.061999999999999</v>
      </c>
      <c r="D310" s="22">
        <v>10.81</v>
      </c>
      <c r="E310" s="21"/>
      <c r="F310" s="21"/>
      <c r="G310" s="11" t="s">
        <v>22</v>
      </c>
      <c r="H310" s="12">
        <v>7000</v>
      </c>
      <c r="I310" s="13"/>
      <c r="J310" s="11"/>
      <c r="K310" s="14">
        <f t="shared" si="36"/>
        <v>-70434</v>
      </c>
      <c r="L310" s="15"/>
      <c r="M310" s="15"/>
      <c r="N310" s="16">
        <f t="shared" si="37"/>
        <v>0</v>
      </c>
      <c r="O310" s="17">
        <f t="shared" si="35"/>
        <v>0</v>
      </c>
      <c r="P310" s="18">
        <f t="shared" si="38"/>
        <v>70434</v>
      </c>
    </row>
    <row r="311" spans="1:17" x14ac:dyDescent="0.3">
      <c r="A311" s="7">
        <v>45371</v>
      </c>
      <c r="B311" s="8" t="s">
        <v>39</v>
      </c>
      <c r="C311" s="9">
        <v>10.061999999999999</v>
      </c>
      <c r="D311" s="22">
        <v>10.81</v>
      </c>
      <c r="E311" s="10">
        <v>47000</v>
      </c>
      <c r="F311" s="10">
        <v>33000</v>
      </c>
      <c r="G311" s="11" t="s">
        <v>17</v>
      </c>
      <c r="H311" s="12">
        <v>16000</v>
      </c>
      <c r="I311" s="13">
        <v>17000</v>
      </c>
      <c r="J311" s="11"/>
      <c r="K311" s="14">
        <f t="shared" si="36"/>
        <v>1710.7272727272357</v>
      </c>
      <c r="L311" s="15">
        <v>11.07</v>
      </c>
      <c r="M311" s="15">
        <v>12</v>
      </c>
      <c r="N311" s="16">
        <f t="shared" si="37"/>
        <v>381120</v>
      </c>
      <c r="O311" s="17">
        <f t="shared" si="35"/>
        <v>346472.72727272724</v>
      </c>
      <c r="P311" s="18">
        <f t="shared" si="38"/>
        <v>344762</v>
      </c>
    </row>
    <row r="312" spans="1:17" x14ac:dyDescent="0.3">
      <c r="A312" s="7">
        <v>45371</v>
      </c>
      <c r="B312" s="8" t="s">
        <v>39</v>
      </c>
      <c r="C312" s="9">
        <v>10.061999999999999</v>
      </c>
      <c r="D312" s="22">
        <v>10.81</v>
      </c>
      <c r="E312" s="19"/>
      <c r="F312" s="19"/>
      <c r="G312" s="11" t="s">
        <v>17</v>
      </c>
      <c r="H312" s="12">
        <v>26000</v>
      </c>
      <c r="I312" s="13">
        <v>7000</v>
      </c>
      <c r="J312" s="11"/>
      <c r="K312" s="29">
        <f>O312-P312</f>
        <v>736.18181818176527</v>
      </c>
      <c r="L312" s="15">
        <v>11.07</v>
      </c>
      <c r="M312" s="15">
        <v>12</v>
      </c>
      <c r="N312" s="16">
        <f t="shared" si="37"/>
        <v>371820</v>
      </c>
      <c r="O312" s="17">
        <f t="shared" si="35"/>
        <v>338018.18181818177</v>
      </c>
      <c r="P312" s="18">
        <f t="shared" si="38"/>
        <v>337282</v>
      </c>
    </row>
    <row r="313" spans="1:17" x14ac:dyDescent="0.3">
      <c r="A313" s="7">
        <v>45371</v>
      </c>
      <c r="B313" s="8" t="s">
        <v>39</v>
      </c>
      <c r="C313" s="9">
        <v>10.061999999999999</v>
      </c>
      <c r="D313" s="22">
        <v>10.81</v>
      </c>
      <c r="E313" s="19"/>
      <c r="F313" s="19"/>
      <c r="G313" s="20" t="s">
        <v>18</v>
      </c>
      <c r="H313" s="12"/>
      <c r="I313" s="13">
        <v>7000</v>
      </c>
      <c r="J313" s="11"/>
      <c r="K313" s="14">
        <f t="shared" si="36"/>
        <v>1966.3636363636324</v>
      </c>
      <c r="L313" s="15"/>
      <c r="M313" s="15">
        <v>12.2</v>
      </c>
      <c r="N313" s="16">
        <f t="shared" si="37"/>
        <v>85400</v>
      </c>
      <c r="O313" s="17">
        <f>N313/1.1</f>
        <v>77636.363636363632</v>
      </c>
      <c r="P313" s="18">
        <f t="shared" si="38"/>
        <v>75670</v>
      </c>
    </row>
    <row r="314" spans="1:17" x14ac:dyDescent="0.3">
      <c r="A314" s="7">
        <v>45371</v>
      </c>
      <c r="B314" s="8" t="s">
        <v>39</v>
      </c>
      <c r="C314" s="9">
        <v>10.061999999999999</v>
      </c>
      <c r="D314" s="22">
        <v>10.81</v>
      </c>
      <c r="E314" s="21"/>
      <c r="F314" s="21"/>
      <c r="G314" s="11" t="s">
        <v>23</v>
      </c>
      <c r="H314" s="12">
        <v>5000</v>
      </c>
      <c r="I314" s="13">
        <v>2000</v>
      </c>
      <c r="J314" s="11"/>
      <c r="K314" s="14">
        <f>O314-P314</f>
        <v>9679.0909090908972</v>
      </c>
      <c r="L314" s="15">
        <v>12.37</v>
      </c>
      <c r="M314" s="15">
        <v>13.96</v>
      </c>
      <c r="N314" s="16">
        <f t="shared" si="37"/>
        <v>89770</v>
      </c>
      <c r="O314" s="17">
        <f>N314/1.1</f>
        <v>81609.090909090897</v>
      </c>
      <c r="P314" s="18">
        <f t="shared" si="38"/>
        <v>71930</v>
      </c>
    </row>
    <row r="315" spans="1:17" x14ac:dyDescent="0.3">
      <c r="A315" s="7">
        <v>45372</v>
      </c>
      <c r="B315" s="8" t="s">
        <v>39</v>
      </c>
      <c r="C315" s="9">
        <v>10.061999999999999</v>
      </c>
      <c r="D315" s="22">
        <v>10.81</v>
      </c>
      <c r="E315" s="10">
        <v>42000</v>
      </c>
      <c r="F315" s="10">
        <v>38000</v>
      </c>
      <c r="G315" s="20" t="s">
        <v>18</v>
      </c>
      <c r="H315" s="12"/>
      <c r="I315" s="13">
        <v>6000</v>
      </c>
      <c r="J315" s="11"/>
      <c r="K315" s="14">
        <f t="shared" si="36"/>
        <v>1685.4545454545441</v>
      </c>
      <c r="L315" s="15"/>
      <c r="M315" s="15">
        <v>12.2</v>
      </c>
      <c r="N315" s="16">
        <f t="shared" si="37"/>
        <v>73200</v>
      </c>
      <c r="O315" s="17">
        <f t="shared" ref="O315:O345" si="41">N315/1.1</f>
        <v>66545.454545454544</v>
      </c>
      <c r="P315" s="18">
        <f t="shared" si="38"/>
        <v>64860</v>
      </c>
      <c r="Q315" s="32"/>
    </row>
    <row r="316" spans="1:17" x14ac:dyDescent="0.3">
      <c r="A316" s="7">
        <v>45372</v>
      </c>
      <c r="B316" s="8" t="s">
        <v>39</v>
      </c>
      <c r="C316" s="9">
        <v>10.061999999999999</v>
      </c>
      <c r="D316" s="22">
        <v>10.81</v>
      </c>
      <c r="E316" s="19"/>
      <c r="F316" s="19"/>
      <c r="G316" s="11" t="s">
        <v>23</v>
      </c>
      <c r="H316" s="12">
        <v>5000</v>
      </c>
      <c r="I316" s="13">
        <v>3000</v>
      </c>
      <c r="J316" s="11"/>
      <c r="K316" s="14">
        <f t="shared" si="36"/>
        <v>11559.999999999985</v>
      </c>
      <c r="L316" s="15">
        <v>12.37</v>
      </c>
      <c r="M316" s="15">
        <v>13.96</v>
      </c>
      <c r="N316" s="16">
        <f t="shared" si="37"/>
        <v>103730</v>
      </c>
      <c r="O316" s="17">
        <f t="shared" si="41"/>
        <v>94299.999999999985</v>
      </c>
      <c r="P316" s="18">
        <f t="shared" si="38"/>
        <v>82740</v>
      </c>
    </row>
    <row r="317" spans="1:17" x14ac:dyDescent="0.3">
      <c r="A317" s="7">
        <v>45372</v>
      </c>
      <c r="B317" s="8" t="s">
        <v>39</v>
      </c>
      <c r="C317" s="9">
        <v>10.061999999999999</v>
      </c>
      <c r="D317" s="22">
        <v>10.81</v>
      </c>
      <c r="E317" s="19"/>
      <c r="F317" s="19"/>
      <c r="G317" s="11" t="s">
        <v>17</v>
      </c>
      <c r="H317" s="13">
        <v>23000</v>
      </c>
      <c r="I317" s="13">
        <v>10000</v>
      </c>
      <c r="J317" s="11"/>
      <c r="K317" s="14">
        <f t="shared" si="36"/>
        <v>1028.5454545454122</v>
      </c>
      <c r="L317" s="15">
        <v>11.07</v>
      </c>
      <c r="M317" s="15">
        <v>12</v>
      </c>
      <c r="N317" s="16">
        <f t="shared" si="37"/>
        <v>374610</v>
      </c>
      <c r="O317" s="17">
        <f t="shared" si="41"/>
        <v>340554.54545454541</v>
      </c>
      <c r="P317" s="18">
        <f t="shared" si="38"/>
        <v>339526</v>
      </c>
    </row>
    <row r="318" spans="1:17" x14ac:dyDescent="0.3">
      <c r="A318" s="7">
        <v>45372</v>
      </c>
      <c r="B318" s="8" t="s">
        <v>39</v>
      </c>
      <c r="C318" s="9">
        <v>10.061999999999999</v>
      </c>
      <c r="D318" s="22">
        <v>10.81</v>
      </c>
      <c r="E318" s="21"/>
      <c r="F318" s="21"/>
      <c r="G318" s="11" t="s">
        <v>17</v>
      </c>
      <c r="H318" s="13">
        <v>14000</v>
      </c>
      <c r="I318" s="13">
        <v>19000</v>
      </c>
      <c r="J318" s="11"/>
      <c r="K318" s="14">
        <f t="shared" si="36"/>
        <v>1905.6363636363531</v>
      </c>
      <c r="L318" s="15">
        <v>11.07</v>
      </c>
      <c r="M318" s="15">
        <v>12</v>
      </c>
      <c r="N318" s="16">
        <f t="shared" si="37"/>
        <v>382980</v>
      </c>
      <c r="O318" s="17">
        <f t="shared" si="41"/>
        <v>348163.63636363635</v>
      </c>
      <c r="P318" s="18">
        <f t="shared" si="38"/>
        <v>346258</v>
      </c>
    </row>
    <row r="319" spans="1:17" x14ac:dyDescent="0.3">
      <c r="A319" s="7">
        <v>45372</v>
      </c>
      <c r="B319" s="28" t="s">
        <v>20</v>
      </c>
      <c r="C319" s="9">
        <v>9.9090900000000008</v>
      </c>
      <c r="D319" s="9"/>
      <c r="E319" s="12">
        <v>33000</v>
      </c>
      <c r="F319" s="12"/>
      <c r="G319" s="11" t="s">
        <v>33</v>
      </c>
      <c r="H319" s="13">
        <v>33000</v>
      </c>
      <c r="I319" s="13"/>
      <c r="J319" s="11"/>
      <c r="K319" s="14">
        <f t="shared" ref="K319:K334" si="42">O319-P319</f>
        <v>1500.0299999999697</v>
      </c>
      <c r="L319" s="15">
        <v>10.95</v>
      </c>
      <c r="M319" s="15"/>
      <c r="N319" s="16">
        <f t="shared" si="37"/>
        <v>361350</v>
      </c>
      <c r="O319" s="17">
        <f t="shared" si="41"/>
        <v>328500</v>
      </c>
      <c r="P319" s="18">
        <f t="shared" si="38"/>
        <v>326999.97000000003</v>
      </c>
    </row>
    <row r="320" spans="1:17" x14ac:dyDescent="0.3">
      <c r="A320" s="7">
        <v>45373</v>
      </c>
      <c r="B320" s="28" t="s">
        <v>39</v>
      </c>
      <c r="C320" s="9">
        <v>9.9939999999999998</v>
      </c>
      <c r="D320" s="9">
        <v>11.025</v>
      </c>
      <c r="E320" s="10">
        <v>33000</v>
      </c>
      <c r="F320" s="10">
        <v>17000</v>
      </c>
      <c r="G320" s="11" t="s">
        <v>26</v>
      </c>
      <c r="H320" s="12">
        <v>17000</v>
      </c>
      <c r="I320" s="13">
        <v>6000</v>
      </c>
      <c r="J320" s="11"/>
      <c r="K320" s="14">
        <f t="shared" si="42"/>
        <v>32442.909090909059</v>
      </c>
      <c r="L320" s="15">
        <v>12.4</v>
      </c>
      <c r="M320" s="15">
        <v>14.09</v>
      </c>
      <c r="N320" s="16">
        <f t="shared" si="37"/>
        <v>295340</v>
      </c>
      <c r="O320" s="17">
        <f t="shared" si="41"/>
        <v>268490.90909090906</v>
      </c>
      <c r="P320" s="18">
        <f t="shared" si="38"/>
        <v>236048</v>
      </c>
      <c r="Q320" t="s">
        <v>42</v>
      </c>
    </row>
    <row r="321" spans="1:17" x14ac:dyDescent="0.3">
      <c r="A321" s="7">
        <v>45373</v>
      </c>
      <c r="B321" s="28" t="s">
        <v>39</v>
      </c>
      <c r="C321" s="9">
        <v>9.9939999999999998</v>
      </c>
      <c r="D321" s="9">
        <v>11.025</v>
      </c>
      <c r="E321" s="19"/>
      <c r="F321" s="19"/>
      <c r="G321" s="20" t="s">
        <v>21</v>
      </c>
      <c r="H321" s="12">
        <v>6000</v>
      </c>
      <c r="I321" s="13">
        <v>4000</v>
      </c>
      <c r="J321" s="11"/>
      <c r="K321" s="14">
        <f t="shared" si="42"/>
        <v>14245.090909090897</v>
      </c>
      <c r="L321" s="15">
        <v>12.37</v>
      </c>
      <c r="M321" s="15">
        <v>13.98</v>
      </c>
      <c r="N321" s="16">
        <f t="shared" si="37"/>
        <v>130140</v>
      </c>
      <c r="O321" s="17">
        <f t="shared" si="41"/>
        <v>118309.0909090909</v>
      </c>
      <c r="P321" s="18">
        <f t="shared" si="38"/>
        <v>104064</v>
      </c>
    </row>
    <row r="322" spans="1:17" x14ac:dyDescent="0.3">
      <c r="A322" s="7">
        <v>45373</v>
      </c>
      <c r="B322" s="28" t="s">
        <v>39</v>
      </c>
      <c r="C322" s="9">
        <v>9.9939999999999998</v>
      </c>
      <c r="D322" s="9">
        <v>11.025</v>
      </c>
      <c r="E322" s="21"/>
      <c r="F322" s="21"/>
      <c r="G322" s="11" t="s">
        <v>17</v>
      </c>
      <c r="H322" s="12">
        <v>10000</v>
      </c>
      <c r="I322" s="13">
        <v>7000</v>
      </c>
      <c r="J322" s="11"/>
      <c r="K322" s="29">
        <f t="shared" si="42"/>
        <v>1139.5454545454413</v>
      </c>
      <c r="L322" s="15">
        <v>11.04</v>
      </c>
      <c r="M322" s="15">
        <v>12.24</v>
      </c>
      <c r="N322" s="16">
        <f t="shared" si="37"/>
        <v>196080</v>
      </c>
      <c r="O322" s="17">
        <f t="shared" si="41"/>
        <v>178254.54545454544</v>
      </c>
      <c r="P322" s="18">
        <f t="shared" si="38"/>
        <v>177115</v>
      </c>
      <c r="Q322" s="32"/>
    </row>
    <row r="323" spans="1:17" x14ac:dyDescent="0.3">
      <c r="A323" s="7">
        <v>45373</v>
      </c>
      <c r="B323" s="28" t="s">
        <v>20</v>
      </c>
      <c r="C323" s="9">
        <v>9.9090900000000008</v>
      </c>
      <c r="D323" s="9"/>
      <c r="E323" s="10">
        <v>98000</v>
      </c>
      <c r="F323" s="12"/>
      <c r="G323" s="11" t="s">
        <v>33</v>
      </c>
      <c r="H323" s="12">
        <v>33000</v>
      </c>
      <c r="I323" s="13"/>
      <c r="J323" s="11"/>
      <c r="K323" s="29">
        <f t="shared" si="42"/>
        <v>1500.0299999999697</v>
      </c>
      <c r="L323" s="15">
        <v>10.95</v>
      </c>
      <c r="M323" s="15"/>
      <c r="N323" s="16">
        <f t="shared" si="37"/>
        <v>361350</v>
      </c>
      <c r="O323" s="17">
        <f t="shared" si="41"/>
        <v>328500</v>
      </c>
      <c r="P323" s="18">
        <f t="shared" si="38"/>
        <v>326999.97000000003</v>
      </c>
      <c r="Q323" s="32"/>
    </row>
    <row r="324" spans="1:17" x14ac:dyDescent="0.3">
      <c r="A324" s="7">
        <v>45373</v>
      </c>
      <c r="B324" s="28" t="s">
        <v>20</v>
      </c>
      <c r="C324" s="9">
        <v>9.9090900000000008</v>
      </c>
      <c r="D324" s="9"/>
      <c r="E324" s="19"/>
      <c r="F324" s="12"/>
      <c r="G324" s="11" t="s">
        <v>33</v>
      </c>
      <c r="H324" s="12">
        <v>33000</v>
      </c>
      <c r="I324" s="13"/>
      <c r="J324" s="11"/>
      <c r="K324" s="29">
        <f t="shared" si="42"/>
        <v>1500.0299999999697</v>
      </c>
      <c r="L324" s="15">
        <v>10.95</v>
      </c>
      <c r="M324" s="15"/>
      <c r="N324" s="16">
        <f t="shared" si="37"/>
        <v>361350</v>
      </c>
      <c r="O324" s="17">
        <f t="shared" si="41"/>
        <v>328500</v>
      </c>
      <c r="P324" s="18">
        <f t="shared" si="38"/>
        <v>326999.97000000003</v>
      </c>
    </row>
    <row r="325" spans="1:17" x14ac:dyDescent="0.3">
      <c r="A325" s="7">
        <v>45373</v>
      </c>
      <c r="B325" s="28" t="s">
        <v>20</v>
      </c>
      <c r="C325" s="9">
        <v>9.9090900000000008</v>
      </c>
      <c r="D325" s="9"/>
      <c r="E325" s="19"/>
      <c r="F325" s="12"/>
      <c r="G325" s="20" t="s">
        <v>21</v>
      </c>
      <c r="H325" s="12">
        <v>22000</v>
      </c>
      <c r="I325" s="13"/>
      <c r="J325" s="11"/>
      <c r="K325" s="29">
        <f t="shared" si="42"/>
        <v>29400.01999999996</v>
      </c>
      <c r="L325" s="15">
        <v>12.37</v>
      </c>
      <c r="M325" s="15"/>
      <c r="N325" s="16">
        <f t="shared" si="37"/>
        <v>272140</v>
      </c>
      <c r="O325" s="17">
        <f t="shared" si="41"/>
        <v>247399.99999999997</v>
      </c>
      <c r="P325" s="18">
        <f t="shared" si="38"/>
        <v>217999.98</v>
      </c>
    </row>
    <row r="326" spans="1:17" x14ac:dyDescent="0.3">
      <c r="A326" s="7">
        <v>45373</v>
      </c>
      <c r="B326" s="28" t="s">
        <v>20</v>
      </c>
      <c r="C326" s="9">
        <v>9.9090900000000008</v>
      </c>
      <c r="D326" s="9"/>
      <c r="E326" s="21"/>
      <c r="F326" s="12"/>
      <c r="G326" s="11" t="s">
        <v>30</v>
      </c>
      <c r="H326" s="12">
        <v>10000</v>
      </c>
      <c r="I326" s="13"/>
      <c r="J326" s="11"/>
      <c r="K326" s="29">
        <f>O326-P326</f>
        <v>3545.4636363636091</v>
      </c>
      <c r="L326" s="15">
        <v>11.29</v>
      </c>
      <c r="M326" s="15"/>
      <c r="N326" s="16">
        <f t="shared" ref="N326:N389" si="43">(H326*L326)+(I326*M326)</f>
        <v>112899.99999999999</v>
      </c>
      <c r="O326" s="17">
        <f t="shared" si="41"/>
        <v>102636.36363636362</v>
      </c>
      <c r="P326" s="18">
        <f t="shared" ref="P326:P389" si="44">(C326*H326)+(I326*D326)</f>
        <v>99090.900000000009</v>
      </c>
    </row>
    <row r="327" spans="1:17" x14ac:dyDescent="0.3">
      <c r="A327" s="7">
        <v>45374</v>
      </c>
      <c r="B327" s="28" t="s">
        <v>20</v>
      </c>
      <c r="C327" s="9">
        <v>9.9090900000000008</v>
      </c>
      <c r="D327" s="9"/>
      <c r="E327" s="10">
        <v>50000</v>
      </c>
      <c r="F327" s="12"/>
      <c r="G327" s="20" t="s">
        <v>33</v>
      </c>
      <c r="H327" s="12">
        <v>17000</v>
      </c>
      <c r="I327" s="13"/>
      <c r="J327" s="11"/>
      <c r="K327" s="29">
        <f>O327-P327</f>
        <v>772.74272727267817</v>
      </c>
      <c r="L327" s="15">
        <v>10.95</v>
      </c>
      <c r="M327" s="15"/>
      <c r="N327" s="16">
        <f t="shared" si="43"/>
        <v>186150</v>
      </c>
      <c r="O327" s="17">
        <f t="shared" si="41"/>
        <v>169227.27272727271</v>
      </c>
      <c r="P327" s="18">
        <f t="shared" si="44"/>
        <v>168454.53000000003</v>
      </c>
    </row>
    <row r="328" spans="1:17" x14ac:dyDescent="0.3">
      <c r="A328" s="7">
        <v>45374</v>
      </c>
      <c r="B328" s="28" t="s">
        <v>20</v>
      </c>
      <c r="C328" s="9">
        <v>9.9090900000000008</v>
      </c>
      <c r="D328" s="9"/>
      <c r="E328" s="21"/>
      <c r="F328" s="12"/>
      <c r="G328" s="20" t="s">
        <v>33</v>
      </c>
      <c r="H328" s="12">
        <v>33000</v>
      </c>
      <c r="I328" s="13"/>
      <c r="J328" s="11"/>
      <c r="K328" s="14">
        <f t="shared" si="42"/>
        <v>1500.0299999999697</v>
      </c>
      <c r="L328" s="15">
        <v>10.95</v>
      </c>
      <c r="M328" s="15"/>
      <c r="N328" s="16">
        <f t="shared" si="43"/>
        <v>361350</v>
      </c>
      <c r="O328" s="17">
        <f t="shared" si="41"/>
        <v>328500</v>
      </c>
      <c r="P328" s="18">
        <f t="shared" si="44"/>
        <v>326999.97000000003</v>
      </c>
    </row>
    <row r="329" spans="1:17" x14ac:dyDescent="0.3">
      <c r="A329" s="7">
        <v>45376</v>
      </c>
      <c r="B329" s="28" t="s">
        <v>20</v>
      </c>
      <c r="C329" s="9">
        <v>9.9090900000000008</v>
      </c>
      <c r="D329" s="9"/>
      <c r="E329" s="10">
        <v>50000</v>
      </c>
      <c r="F329" s="12"/>
      <c r="G329" s="20" t="s">
        <v>17</v>
      </c>
      <c r="H329" s="12">
        <v>17000</v>
      </c>
      <c r="I329" s="13"/>
      <c r="J329" s="11"/>
      <c r="K329" s="29">
        <f t="shared" si="42"/>
        <v>772.74272727267817</v>
      </c>
      <c r="L329" s="15">
        <v>10.95</v>
      </c>
      <c r="M329" s="15"/>
      <c r="N329" s="16">
        <f t="shared" si="43"/>
        <v>186150</v>
      </c>
      <c r="O329" s="17">
        <f t="shared" si="41"/>
        <v>169227.27272727271</v>
      </c>
      <c r="P329" s="18">
        <f t="shared" si="44"/>
        <v>168454.53000000003</v>
      </c>
    </row>
    <row r="330" spans="1:17" x14ac:dyDescent="0.3">
      <c r="A330" s="7">
        <v>45376</v>
      </c>
      <c r="B330" s="28" t="s">
        <v>20</v>
      </c>
      <c r="C330" s="9">
        <v>9.9090900000000008</v>
      </c>
      <c r="D330" s="9"/>
      <c r="E330" s="21"/>
      <c r="F330" s="12"/>
      <c r="G330" s="20" t="s">
        <v>17</v>
      </c>
      <c r="H330" s="12">
        <v>33000</v>
      </c>
      <c r="I330" s="13"/>
      <c r="J330" s="11"/>
      <c r="K330" s="29">
        <f t="shared" si="42"/>
        <v>1500.0299999999697</v>
      </c>
      <c r="L330" s="15">
        <v>10.95</v>
      </c>
      <c r="M330" s="15"/>
      <c r="N330" s="16">
        <f t="shared" si="43"/>
        <v>361350</v>
      </c>
      <c r="O330" s="17">
        <f t="shared" si="41"/>
        <v>328500</v>
      </c>
      <c r="P330" s="18">
        <f t="shared" si="44"/>
        <v>326999.97000000003</v>
      </c>
    </row>
    <row r="331" spans="1:17" x14ac:dyDescent="0.3">
      <c r="A331" s="7">
        <v>45376</v>
      </c>
      <c r="B331" s="28" t="s">
        <v>39</v>
      </c>
      <c r="C331" s="9">
        <v>9.9939999999999998</v>
      </c>
      <c r="D331" s="9">
        <v>11.025</v>
      </c>
      <c r="E331" s="10">
        <v>23000</v>
      </c>
      <c r="F331" s="10">
        <v>10000</v>
      </c>
      <c r="G331" s="20" t="s">
        <v>23</v>
      </c>
      <c r="H331" s="12">
        <v>16000</v>
      </c>
      <c r="I331" s="13">
        <v>6000</v>
      </c>
      <c r="J331" s="11"/>
      <c r="K331" s="29">
        <f t="shared" si="42"/>
        <v>30018.727272727265</v>
      </c>
      <c r="L331" s="15">
        <v>12.37</v>
      </c>
      <c r="M331" s="15">
        <v>13.96</v>
      </c>
      <c r="N331" s="16">
        <f t="shared" si="43"/>
        <v>281680</v>
      </c>
      <c r="O331" s="17">
        <f t="shared" si="41"/>
        <v>256072.72727272726</v>
      </c>
      <c r="P331" s="18">
        <f t="shared" si="44"/>
        <v>226054</v>
      </c>
    </row>
    <row r="332" spans="1:17" hidden="1" x14ac:dyDescent="0.3">
      <c r="A332" s="7">
        <v>45376</v>
      </c>
      <c r="B332" s="28" t="s">
        <v>39</v>
      </c>
      <c r="C332" s="9">
        <v>9.9939999999999998</v>
      </c>
      <c r="D332" s="9">
        <v>11.025</v>
      </c>
      <c r="E332" s="21"/>
      <c r="F332" s="21"/>
      <c r="G332" s="20" t="s">
        <v>22</v>
      </c>
      <c r="H332" s="12">
        <v>7000</v>
      </c>
      <c r="I332" s="13">
        <v>4000</v>
      </c>
      <c r="J332" s="11"/>
      <c r="K332" s="29">
        <f t="shared" si="42"/>
        <v>-114058</v>
      </c>
      <c r="L332" s="15"/>
      <c r="M332" s="15"/>
      <c r="N332" s="16">
        <f t="shared" si="43"/>
        <v>0</v>
      </c>
      <c r="O332" s="17">
        <f t="shared" si="41"/>
        <v>0</v>
      </c>
      <c r="P332" s="18">
        <f t="shared" si="44"/>
        <v>114058</v>
      </c>
    </row>
    <row r="333" spans="1:17" x14ac:dyDescent="0.3">
      <c r="A333" s="7">
        <v>45377</v>
      </c>
      <c r="B333" s="8" t="s">
        <v>16</v>
      </c>
      <c r="C333" s="9">
        <v>10.050000000000001</v>
      </c>
      <c r="D333" s="9">
        <v>11.365</v>
      </c>
      <c r="E333" s="12">
        <v>23000</v>
      </c>
      <c r="F333" s="12">
        <v>10000</v>
      </c>
      <c r="G333" s="11" t="s">
        <v>26</v>
      </c>
      <c r="H333" s="12">
        <v>23000</v>
      </c>
      <c r="I333" s="13">
        <v>10000</v>
      </c>
      <c r="J333" s="11"/>
      <c r="K333" s="29">
        <f t="shared" si="42"/>
        <v>45781.818181818177</v>
      </c>
      <c r="L333" s="15">
        <v>12.58</v>
      </c>
      <c r="M333" s="15">
        <v>14.03</v>
      </c>
      <c r="N333" s="16">
        <f t="shared" si="43"/>
        <v>429640</v>
      </c>
      <c r="O333" s="17">
        <f t="shared" si="41"/>
        <v>390581.81818181818</v>
      </c>
      <c r="P333" s="18">
        <f t="shared" si="44"/>
        <v>344800</v>
      </c>
    </row>
    <row r="334" spans="1:17" x14ac:dyDescent="0.3">
      <c r="A334" s="7">
        <v>45377</v>
      </c>
      <c r="B334" s="28" t="s">
        <v>39</v>
      </c>
      <c r="C334" s="9">
        <v>9.9939999999999998</v>
      </c>
      <c r="D334" s="9">
        <v>11.025</v>
      </c>
      <c r="E334" s="24"/>
      <c r="F334" s="24">
        <v>14000</v>
      </c>
      <c r="G334" s="20" t="s">
        <v>18</v>
      </c>
      <c r="H334" s="12"/>
      <c r="I334" s="13">
        <v>14000</v>
      </c>
      <c r="J334" s="11"/>
      <c r="K334" s="29">
        <f t="shared" si="42"/>
        <v>922.72727272726479</v>
      </c>
      <c r="L334" s="15"/>
      <c r="M334" s="15">
        <v>12.2</v>
      </c>
      <c r="N334" s="16">
        <f t="shared" si="43"/>
        <v>170800</v>
      </c>
      <c r="O334" s="17">
        <f t="shared" si="41"/>
        <v>155272.72727272726</v>
      </c>
      <c r="P334" s="18">
        <f t="shared" si="44"/>
        <v>154350</v>
      </c>
    </row>
    <row r="335" spans="1:17" x14ac:dyDescent="0.3">
      <c r="A335" s="7">
        <v>45378</v>
      </c>
      <c r="B335" s="8" t="s">
        <v>16</v>
      </c>
      <c r="C335" s="9">
        <v>10.050000000000001</v>
      </c>
      <c r="D335" s="9">
        <v>11.365</v>
      </c>
      <c r="E335" s="10">
        <v>23000</v>
      </c>
      <c r="F335" s="10">
        <v>10000</v>
      </c>
      <c r="G335" s="11" t="s">
        <v>28</v>
      </c>
      <c r="H335" s="12">
        <v>13000</v>
      </c>
      <c r="I335" s="13">
        <v>10000</v>
      </c>
      <c r="J335" s="11"/>
      <c r="K335" s="29">
        <f>O335-P335</f>
        <v>28827.272727272706</v>
      </c>
      <c r="L335" s="14">
        <v>12.38</v>
      </c>
      <c r="M335" s="15">
        <v>13.95</v>
      </c>
      <c r="N335" s="16">
        <f t="shared" si="43"/>
        <v>300440</v>
      </c>
      <c r="O335" s="17">
        <f t="shared" si="41"/>
        <v>273127.27272727271</v>
      </c>
      <c r="P335" s="18">
        <f t="shared" si="44"/>
        <v>244300</v>
      </c>
    </row>
    <row r="336" spans="1:17" x14ac:dyDescent="0.3">
      <c r="A336" s="7">
        <v>45378</v>
      </c>
      <c r="B336" s="8" t="s">
        <v>16</v>
      </c>
      <c r="C336" s="9">
        <v>10.050000000000001</v>
      </c>
      <c r="D336" s="9">
        <v>11.365</v>
      </c>
      <c r="E336" s="21"/>
      <c r="F336" s="21"/>
      <c r="G336" s="11" t="s">
        <v>29</v>
      </c>
      <c r="H336" s="12">
        <v>10000</v>
      </c>
      <c r="I336" s="13"/>
      <c r="J336" s="11"/>
      <c r="K336" s="29">
        <f t="shared" ref="K336:K345" si="45">O336-P336</f>
        <v>11681.818181818177</v>
      </c>
      <c r="L336" s="15">
        <v>12.34</v>
      </c>
      <c r="M336" s="15"/>
      <c r="N336" s="16">
        <f t="shared" si="43"/>
        <v>123400</v>
      </c>
      <c r="O336" s="17">
        <f t="shared" si="41"/>
        <v>112181.81818181818</v>
      </c>
      <c r="P336" s="18">
        <f t="shared" si="44"/>
        <v>100500</v>
      </c>
    </row>
    <row r="337" spans="1:17" x14ac:dyDescent="0.3">
      <c r="A337" s="7">
        <v>45379</v>
      </c>
      <c r="B337" s="28" t="s">
        <v>39</v>
      </c>
      <c r="C337" s="9">
        <v>9.9939999999999998</v>
      </c>
      <c r="D337" s="9">
        <v>11.025</v>
      </c>
      <c r="E337" s="10">
        <v>32000</v>
      </c>
      <c r="F337" s="10">
        <v>48000</v>
      </c>
      <c r="G337" s="20" t="s">
        <v>32</v>
      </c>
      <c r="H337" s="12">
        <v>17000</v>
      </c>
      <c r="I337" s="13">
        <v>16000</v>
      </c>
      <c r="J337" s="11"/>
      <c r="K337" s="29">
        <f t="shared" si="45"/>
        <v>4420.1818181817653</v>
      </c>
      <c r="L337" s="15">
        <v>11.07</v>
      </c>
      <c r="M337" s="15">
        <v>12.35</v>
      </c>
      <c r="N337" s="16">
        <f t="shared" si="43"/>
        <v>385790</v>
      </c>
      <c r="O337" s="17">
        <f t="shared" si="41"/>
        <v>350718.18181818177</v>
      </c>
      <c r="P337" s="18">
        <f t="shared" si="44"/>
        <v>346298</v>
      </c>
    </row>
    <row r="338" spans="1:17" x14ac:dyDescent="0.3">
      <c r="A338" s="7">
        <v>45379</v>
      </c>
      <c r="B338" s="28" t="s">
        <v>39</v>
      </c>
      <c r="C338" s="9">
        <v>9.9939999999999998</v>
      </c>
      <c r="D338" s="9">
        <v>11.025</v>
      </c>
      <c r="E338" s="19"/>
      <c r="F338" s="19"/>
      <c r="G338" s="20" t="s">
        <v>18</v>
      </c>
      <c r="H338" s="12"/>
      <c r="I338" s="13">
        <v>14000</v>
      </c>
      <c r="J338" s="11"/>
      <c r="K338" s="29">
        <f t="shared" si="45"/>
        <v>922.72727272726479</v>
      </c>
      <c r="L338" s="15"/>
      <c r="M338" s="15">
        <v>12.2</v>
      </c>
      <c r="N338" s="16">
        <f t="shared" si="43"/>
        <v>170800</v>
      </c>
      <c r="O338" s="17">
        <f t="shared" si="41"/>
        <v>155272.72727272726</v>
      </c>
      <c r="P338" s="18">
        <f t="shared" si="44"/>
        <v>154350</v>
      </c>
    </row>
    <row r="339" spans="1:17" x14ac:dyDescent="0.3">
      <c r="A339" s="7">
        <v>45379</v>
      </c>
      <c r="B339" s="28" t="s">
        <v>39</v>
      </c>
      <c r="C339" s="9">
        <v>9.9939999999999998</v>
      </c>
      <c r="D339" s="9">
        <v>11.025</v>
      </c>
      <c r="E339" s="21"/>
      <c r="F339" s="21"/>
      <c r="G339" s="20" t="s">
        <v>17</v>
      </c>
      <c r="H339" s="12">
        <v>15000</v>
      </c>
      <c r="I339" s="13">
        <v>18000</v>
      </c>
      <c r="J339" s="11"/>
      <c r="K339" s="29">
        <f t="shared" si="45"/>
        <v>2476.3636363635887</v>
      </c>
      <c r="L339" s="15">
        <v>11.04</v>
      </c>
      <c r="M339" s="15">
        <v>12.24</v>
      </c>
      <c r="N339" s="16">
        <f t="shared" si="43"/>
        <v>385920</v>
      </c>
      <c r="O339" s="17">
        <f t="shared" si="41"/>
        <v>350836.36363636359</v>
      </c>
      <c r="P339" s="18">
        <f t="shared" si="44"/>
        <v>348360</v>
      </c>
    </row>
    <row r="340" spans="1:17" x14ac:dyDescent="0.3">
      <c r="A340" s="7">
        <v>45380</v>
      </c>
      <c r="B340" s="28" t="s">
        <v>39</v>
      </c>
      <c r="C340" s="9">
        <v>9.9939999999999998</v>
      </c>
      <c r="D340" s="9">
        <v>11.025</v>
      </c>
      <c r="E340" s="10">
        <v>29000</v>
      </c>
      <c r="F340" s="10">
        <v>16000</v>
      </c>
      <c r="G340" s="20" t="s">
        <v>27</v>
      </c>
      <c r="H340" s="12">
        <v>29000</v>
      </c>
      <c r="I340" s="13">
        <v>4000</v>
      </c>
      <c r="J340" s="11"/>
      <c r="K340" s="29">
        <f t="shared" si="45"/>
        <v>32164.909090909059</v>
      </c>
      <c r="L340" s="15">
        <v>11.98</v>
      </c>
      <c r="M340" s="15">
        <v>13.82</v>
      </c>
      <c r="N340" s="16">
        <f t="shared" si="43"/>
        <v>402700</v>
      </c>
      <c r="O340" s="17">
        <f t="shared" si="41"/>
        <v>366090.90909090906</v>
      </c>
      <c r="P340" s="18">
        <f t="shared" si="44"/>
        <v>333926</v>
      </c>
    </row>
    <row r="341" spans="1:17" x14ac:dyDescent="0.3">
      <c r="A341" s="7">
        <v>45380</v>
      </c>
      <c r="B341" s="28" t="s">
        <v>39</v>
      </c>
      <c r="C341" s="9">
        <v>9.9939999999999998</v>
      </c>
      <c r="D341" s="9">
        <v>11.025</v>
      </c>
      <c r="E341" s="21"/>
      <c r="F341" s="21"/>
      <c r="G341" s="20" t="s">
        <v>18</v>
      </c>
      <c r="H341" s="12"/>
      <c r="I341" s="13">
        <v>12000</v>
      </c>
      <c r="J341" s="11"/>
      <c r="K341" s="29">
        <f t="shared" si="45"/>
        <v>790.90909090908826</v>
      </c>
      <c r="L341" s="15"/>
      <c r="M341" s="15">
        <v>12.2</v>
      </c>
      <c r="N341" s="16">
        <f t="shared" si="43"/>
        <v>146400</v>
      </c>
      <c r="O341" s="17">
        <f t="shared" si="41"/>
        <v>133090.90909090909</v>
      </c>
      <c r="P341" s="18">
        <f t="shared" si="44"/>
        <v>132300</v>
      </c>
    </row>
    <row r="342" spans="1:17" x14ac:dyDescent="0.3">
      <c r="A342" s="7">
        <v>45380</v>
      </c>
      <c r="B342" s="8" t="s">
        <v>16</v>
      </c>
      <c r="C342" s="9">
        <v>10.050000000000001</v>
      </c>
      <c r="D342" s="9">
        <v>11.365</v>
      </c>
      <c r="E342" s="12">
        <v>32000</v>
      </c>
      <c r="F342" s="12"/>
      <c r="G342" s="20" t="s">
        <v>31</v>
      </c>
      <c r="H342" s="12">
        <v>32000</v>
      </c>
      <c r="I342" s="13"/>
      <c r="J342" s="11"/>
      <c r="K342" s="14">
        <f t="shared" si="45"/>
        <v>30400</v>
      </c>
      <c r="L342" s="15">
        <v>12.1</v>
      </c>
      <c r="M342" s="15"/>
      <c r="N342" s="16">
        <f t="shared" si="43"/>
        <v>387200</v>
      </c>
      <c r="O342" s="17">
        <f t="shared" si="41"/>
        <v>352000</v>
      </c>
      <c r="P342" s="18">
        <f t="shared" si="44"/>
        <v>321600</v>
      </c>
    </row>
    <row r="343" spans="1:17" x14ac:dyDescent="0.3">
      <c r="A343" s="7">
        <v>45381</v>
      </c>
      <c r="B343" s="28" t="s">
        <v>39</v>
      </c>
      <c r="C343" s="9">
        <v>9.9939999999999998</v>
      </c>
      <c r="D343" s="9">
        <v>11.025</v>
      </c>
      <c r="E343" s="10">
        <v>24000</v>
      </c>
      <c r="F343" s="10">
        <v>26000</v>
      </c>
      <c r="G343" s="20" t="s">
        <v>33</v>
      </c>
      <c r="H343" s="12">
        <v>17000</v>
      </c>
      <c r="I343" s="13">
        <v>16000</v>
      </c>
      <c r="J343" s="11"/>
      <c r="K343" s="29">
        <f t="shared" si="45"/>
        <v>2356.5454545454122</v>
      </c>
      <c r="L343" s="15">
        <v>11.04</v>
      </c>
      <c r="M343" s="15">
        <v>12.24</v>
      </c>
      <c r="N343" s="16">
        <f t="shared" si="43"/>
        <v>383520</v>
      </c>
      <c r="O343" s="17">
        <f t="shared" si="41"/>
        <v>348654.54545454541</v>
      </c>
      <c r="P343" s="18">
        <f t="shared" si="44"/>
        <v>346298</v>
      </c>
    </row>
    <row r="344" spans="1:17" x14ac:dyDescent="0.3">
      <c r="A344" s="7">
        <v>45381</v>
      </c>
      <c r="B344" s="28" t="s">
        <v>39</v>
      </c>
      <c r="C344" s="9">
        <v>9.9939999999999998</v>
      </c>
      <c r="D344" s="9">
        <v>11.025</v>
      </c>
      <c r="E344" s="19"/>
      <c r="F344" s="19"/>
      <c r="G344" s="20" t="s">
        <v>33</v>
      </c>
      <c r="H344" s="12">
        <v>7000</v>
      </c>
      <c r="I344" s="13">
        <v>10000</v>
      </c>
      <c r="J344" s="11"/>
      <c r="K344" s="29">
        <f t="shared" si="45"/>
        <v>1319.2727272727061</v>
      </c>
      <c r="L344" s="15">
        <v>11.04</v>
      </c>
      <c r="M344" s="15">
        <v>12.24</v>
      </c>
      <c r="N344" s="16">
        <f t="shared" si="43"/>
        <v>199680</v>
      </c>
      <c r="O344" s="17">
        <f t="shared" si="41"/>
        <v>181527.27272727271</v>
      </c>
      <c r="P344" s="18">
        <f t="shared" si="44"/>
        <v>180208</v>
      </c>
    </row>
    <row r="345" spans="1:17" x14ac:dyDescent="0.3">
      <c r="A345" s="7">
        <v>45381</v>
      </c>
      <c r="B345" s="8" t="s">
        <v>19</v>
      </c>
      <c r="C345" s="9">
        <v>9.9939999999999998</v>
      </c>
      <c r="D345" s="9">
        <v>11.025</v>
      </c>
      <c r="E345" s="12">
        <v>3000</v>
      </c>
      <c r="F345" s="12"/>
      <c r="G345" s="11" t="s">
        <v>30</v>
      </c>
      <c r="H345" s="12">
        <v>3000</v>
      </c>
      <c r="I345" s="13"/>
      <c r="J345" s="11"/>
      <c r="K345" s="29">
        <f t="shared" si="45"/>
        <v>808.90909090908826</v>
      </c>
      <c r="L345" s="15">
        <v>11.29</v>
      </c>
      <c r="M345" s="15"/>
      <c r="N345" s="16">
        <f t="shared" si="43"/>
        <v>33870</v>
      </c>
      <c r="O345" s="17">
        <f t="shared" si="41"/>
        <v>30790.909090909088</v>
      </c>
      <c r="P345" s="18">
        <f t="shared" si="44"/>
        <v>29982</v>
      </c>
    </row>
    <row r="346" spans="1:17" x14ac:dyDescent="0.3">
      <c r="A346" s="7">
        <v>45383</v>
      </c>
      <c r="B346" s="28" t="s">
        <v>39</v>
      </c>
      <c r="C346" s="9">
        <v>9.9939999999999998</v>
      </c>
      <c r="D346" s="9">
        <v>11.025</v>
      </c>
      <c r="E346" s="10">
        <v>32000</v>
      </c>
      <c r="F346" s="12"/>
      <c r="G346" s="20" t="s">
        <v>35</v>
      </c>
      <c r="H346" s="12">
        <v>18000</v>
      </c>
      <c r="I346" s="13"/>
      <c r="J346" s="11"/>
      <c r="K346" s="14">
        <f>O346-P346</f>
        <v>22198.909090909088</v>
      </c>
      <c r="L346" s="15">
        <v>12.35</v>
      </c>
      <c r="M346" s="15"/>
      <c r="N346" s="16">
        <f t="shared" si="43"/>
        <v>222300</v>
      </c>
      <c r="O346" s="17">
        <f>N346/1.1</f>
        <v>202090.90909090909</v>
      </c>
      <c r="P346" s="18">
        <f t="shared" si="44"/>
        <v>179892</v>
      </c>
      <c r="Q346" s="32"/>
    </row>
    <row r="347" spans="1:17" x14ac:dyDescent="0.3">
      <c r="A347" s="7">
        <v>45383</v>
      </c>
      <c r="B347" s="28" t="s">
        <v>39</v>
      </c>
      <c r="C347" s="9">
        <v>9.9939999999999998</v>
      </c>
      <c r="D347" s="9">
        <v>11.025</v>
      </c>
      <c r="E347" s="19"/>
      <c r="F347" s="12"/>
      <c r="G347" s="11" t="s">
        <v>30</v>
      </c>
      <c r="H347" s="12">
        <v>10000</v>
      </c>
      <c r="I347" s="13"/>
      <c r="J347" s="11"/>
      <c r="K347" s="14">
        <f>O347-P347</f>
        <v>2696.3636363636178</v>
      </c>
      <c r="L347" s="15">
        <v>11.29</v>
      </c>
      <c r="M347" s="15"/>
      <c r="N347" s="16">
        <f t="shared" si="43"/>
        <v>112899.99999999999</v>
      </c>
      <c r="O347" s="17">
        <f t="shared" ref="O347:O406" si="46">N347/1.1</f>
        <v>102636.36363636362</v>
      </c>
      <c r="P347" s="18">
        <f t="shared" si="44"/>
        <v>99940</v>
      </c>
      <c r="Q347" s="32"/>
    </row>
    <row r="348" spans="1:17" hidden="1" x14ac:dyDescent="0.3">
      <c r="A348" s="7">
        <v>45383</v>
      </c>
      <c r="B348" s="28" t="s">
        <v>39</v>
      </c>
      <c r="C348" s="9">
        <v>9.9939999999999998</v>
      </c>
      <c r="D348" s="9">
        <v>11.025</v>
      </c>
      <c r="E348" s="21"/>
      <c r="F348" s="12"/>
      <c r="G348" s="20" t="s">
        <v>22</v>
      </c>
      <c r="H348" s="12">
        <v>4000</v>
      </c>
      <c r="I348" s="13"/>
      <c r="J348" s="11"/>
      <c r="K348" s="14">
        <f t="shared" ref="K348:K407" si="47">O348-P348</f>
        <v>-39976</v>
      </c>
      <c r="L348" s="15">
        <v>0</v>
      </c>
      <c r="M348" s="15"/>
      <c r="N348" s="16">
        <f t="shared" si="43"/>
        <v>0</v>
      </c>
      <c r="O348" s="17">
        <f t="shared" si="46"/>
        <v>0</v>
      </c>
      <c r="P348" s="18">
        <f t="shared" si="44"/>
        <v>39976</v>
      </c>
      <c r="Q348" s="32"/>
    </row>
    <row r="349" spans="1:17" x14ac:dyDescent="0.3">
      <c r="A349" s="7">
        <v>45384</v>
      </c>
      <c r="B349" s="8" t="s">
        <v>43</v>
      </c>
      <c r="C349" s="9">
        <v>10.077</v>
      </c>
      <c r="D349" s="9">
        <v>11.6</v>
      </c>
      <c r="E349" s="10">
        <v>23000</v>
      </c>
      <c r="F349" s="10">
        <v>10000</v>
      </c>
      <c r="G349" s="20" t="s">
        <v>23</v>
      </c>
      <c r="H349" s="12">
        <v>16000</v>
      </c>
      <c r="I349" s="12">
        <v>6000</v>
      </c>
      <c r="J349" s="11"/>
      <c r="K349" s="14">
        <f t="shared" si="47"/>
        <v>27695.272727272706</v>
      </c>
      <c r="L349" s="15">
        <v>12.37</v>
      </c>
      <c r="M349" s="15">
        <v>14.41</v>
      </c>
      <c r="N349" s="16">
        <f t="shared" si="43"/>
        <v>284380</v>
      </c>
      <c r="O349" s="17">
        <f t="shared" si="46"/>
        <v>258527.27272727271</v>
      </c>
      <c r="P349" s="18">
        <f t="shared" si="44"/>
        <v>230832</v>
      </c>
      <c r="Q349" s="32"/>
    </row>
    <row r="350" spans="1:17" hidden="1" x14ac:dyDescent="0.3">
      <c r="A350" s="7">
        <v>45384</v>
      </c>
      <c r="B350" s="8" t="s">
        <v>43</v>
      </c>
      <c r="C350" s="9">
        <v>10.077</v>
      </c>
      <c r="D350" s="9">
        <v>11.6</v>
      </c>
      <c r="E350" s="21"/>
      <c r="F350" s="21"/>
      <c r="G350" s="20" t="s">
        <v>22</v>
      </c>
      <c r="H350" s="12">
        <v>7000</v>
      </c>
      <c r="I350" s="12">
        <v>4000</v>
      </c>
      <c r="J350" s="11"/>
      <c r="K350" s="14">
        <f t="shared" si="47"/>
        <v>-116939</v>
      </c>
      <c r="L350" s="15"/>
      <c r="M350" s="15"/>
      <c r="N350" s="16">
        <f t="shared" si="43"/>
        <v>0</v>
      </c>
      <c r="O350" s="17">
        <f>N350/1.1</f>
        <v>0</v>
      </c>
      <c r="P350" s="18">
        <f t="shared" si="44"/>
        <v>116939</v>
      </c>
      <c r="Q350" s="32"/>
    </row>
    <row r="351" spans="1:17" x14ac:dyDescent="0.3">
      <c r="A351" s="7">
        <v>45387</v>
      </c>
      <c r="B351" s="8" t="s">
        <v>43</v>
      </c>
      <c r="C351" s="9">
        <v>10.026999999999999</v>
      </c>
      <c r="D351" s="22">
        <v>11.5</v>
      </c>
      <c r="E351" s="10">
        <v>49000</v>
      </c>
      <c r="F351" s="10">
        <v>64000</v>
      </c>
      <c r="G351" s="20" t="s">
        <v>25</v>
      </c>
      <c r="H351" s="12">
        <v>12000</v>
      </c>
      <c r="I351" s="12">
        <v>4000</v>
      </c>
      <c r="J351" s="11"/>
      <c r="K351" s="14">
        <f t="shared" si="47"/>
        <v>22985.090909090883</v>
      </c>
      <c r="L351" s="15">
        <v>12.52</v>
      </c>
      <c r="M351" s="15">
        <v>14.5</v>
      </c>
      <c r="N351" s="16">
        <f t="shared" si="43"/>
        <v>208240</v>
      </c>
      <c r="O351" s="17">
        <f t="shared" si="46"/>
        <v>189309.09090909088</v>
      </c>
      <c r="P351" s="18">
        <f t="shared" si="44"/>
        <v>166324</v>
      </c>
      <c r="Q351" s="32"/>
    </row>
    <row r="352" spans="1:17" hidden="1" x14ac:dyDescent="0.3">
      <c r="A352" s="7">
        <v>45387</v>
      </c>
      <c r="B352" s="8" t="s">
        <v>43</v>
      </c>
      <c r="C352" s="9">
        <v>10.026999999999999</v>
      </c>
      <c r="D352" s="22">
        <v>11.5</v>
      </c>
      <c r="E352" s="19"/>
      <c r="F352" s="19"/>
      <c r="G352" s="20" t="s">
        <v>22</v>
      </c>
      <c r="H352" s="12">
        <v>16000</v>
      </c>
      <c r="I352" s="12"/>
      <c r="J352" s="11"/>
      <c r="K352" s="14">
        <f t="shared" si="47"/>
        <v>-160432</v>
      </c>
      <c r="L352" s="15"/>
      <c r="M352" s="15"/>
      <c r="N352" s="16">
        <f t="shared" si="43"/>
        <v>0</v>
      </c>
      <c r="O352" s="17">
        <f t="shared" si="46"/>
        <v>0</v>
      </c>
      <c r="P352" s="18">
        <f t="shared" si="44"/>
        <v>160432</v>
      </c>
      <c r="Q352" s="32"/>
    </row>
    <row r="353" spans="1:17" x14ac:dyDescent="0.3">
      <c r="A353" s="7">
        <v>45387</v>
      </c>
      <c r="B353" s="8" t="s">
        <v>43</v>
      </c>
      <c r="C353" s="9">
        <v>10.026999999999999</v>
      </c>
      <c r="D353" s="22">
        <v>11.5</v>
      </c>
      <c r="E353" s="19"/>
      <c r="F353" s="19"/>
      <c r="G353" s="20" t="s">
        <v>17</v>
      </c>
      <c r="H353" s="12"/>
      <c r="I353" s="12">
        <v>17000</v>
      </c>
      <c r="J353" s="11"/>
      <c r="K353" s="14">
        <f t="shared" si="47"/>
        <v>772.72727272726479</v>
      </c>
      <c r="L353" s="15"/>
      <c r="M353" s="15">
        <v>12.7</v>
      </c>
      <c r="N353" s="16">
        <f t="shared" si="43"/>
        <v>215900</v>
      </c>
      <c r="O353" s="17">
        <f t="shared" si="46"/>
        <v>196272.72727272726</v>
      </c>
      <c r="P353" s="18">
        <f t="shared" si="44"/>
        <v>195500</v>
      </c>
      <c r="Q353" s="32"/>
    </row>
    <row r="354" spans="1:17" x14ac:dyDescent="0.3">
      <c r="A354" s="7">
        <v>45387</v>
      </c>
      <c r="B354" s="8" t="s">
        <v>43</v>
      </c>
      <c r="C354" s="9">
        <v>10.026999999999999</v>
      </c>
      <c r="D354" s="22">
        <v>11.5</v>
      </c>
      <c r="E354" s="19"/>
      <c r="F354" s="19"/>
      <c r="G354" s="11" t="s">
        <v>37</v>
      </c>
      <c r="H354" s="12"/>
      <c r="I354" s="13">
        <v>33000</v>
      </c>
      <c r="J354" s="11"/>
      <c r="K354" s="14">
        <f t="shared" si="47"/>
        <v>7499.9999999999418</v>
      </c>
      <c r="L354" s="15"/>
      <c r="M354" s="15">
        <v>12.9</v>
      </c>
      <c r="N354" s="16">
        <f t="shared" si="43"/>
        <v>425700</v>
      </c>
      <c r="O354" s="17">
        <f t="shared" si="46"/>
        <v>386999.99999999994</v>
      </c>
      <c r="P354" s="18">
        <f t="shared" si="44"/>
        <v>379500</v>
      </c>
      <c r="Q354" s="32"/>
    </row>
    <row r="355" spans="1:17" x14ac:dyDescent="0.3">
      <c r="A355" s="7">
        <v>45387</v>
      </c>
      <c r="B355" s="8" t="s">
        <v>43</v>
      </c>
      <c r="C355" s="9">
        <v>10.026999999999999</v>
      </c>
      <c r="D355" s="22">
        <v>11.5</v>
      </c>
      <c r="E355" s="21"/>
      <c r="F355" s="21"/>
      <c r="G355" s="20" t="s">
        <v>32</v>
      </c>
      <c r="H355" s="12">
        <v>21000</v>
      </c>
      <c r="I355" s="12">
        <v>10000</v>
      </c>
      <c r="J355" s="11"/>
      <c r="K355" s="14">
        <f t="shared" si="47"/>
        <v>1751.1818181817653</v>
      </c>
      <c r="L355" s="15">
        <v>11.05</v>
      </c>
      <c r="M355" s="15">
        <v>12.8</v>
      </c>
      <c r="N355" s="16">
        <f t="shared" si="43"/>
        <v>360050</v>
      </c>
      <c r="O355" s="17">
        <f t="shared" si="46"/>
        <v>327318.18181818177</v>
      </c>
      <c r="P355" s="18">
        <f t="shared" si="44"/>
        <v>325567</v>
      </c>
      <c r="Q355" s="32"/>
    </row>
    <row r="356" spans="1:17" x14ac:dyDescent="0.3">
      <c r="A356" s="7">
        <v>45391</v>
      </c>
      <c r="B356" s="8" t="s">
        <v>43</v>
      </c>
      <c r="C356" s="9">
        <v>10.026999999999999</v>
      </c>
      <c r="D356" s="22">
        <v>11.5</v>
      </c>
      <c r="E356" s="10">
        <v>39000</v>
      </c>
      <c r="F356" s="10">
        <v>11000</v>
      </c>
      <c r="G356" s="20" t="s">
        <v>27</v>
      </c>
      <c r="H356" s="12">
        <v>29000</v>
      </c>
      <c r="I356" s="13">
        <v>4000</v>
      </c>
      <c r="J356" s="11"/>
      <c r="K356" s="14">
        <f t="shared" si="47"/>
        <v>30762.45454545453</v>
      </c>
      <c r="L356" s="15">
        <v>11.98</v>
      </c>
      <c r="M356" s="15">
        <v>14.22</v>
      </c>
      <c r="N356" s="16">
        <f t="shared" si="43"/>
        <v>404300</v>
      </c>
      <c r="O356" s="17">
        <f t="shared" si="46"/>
        <v>367545.45454545453</v>
      </c>
      <c r="P356" s="18">
        <f t="shared" si="44"/>
        <v>336783</v>
      </c>
      <c r="Q356" s="32"/>
    </row>
    <row r="357" spans="1:17" x14ac:dyDescent="0.3">
      <c r="A357" s="7">
        <v>45391</v>
      </c>
      <c r="B357" s="8" t="s">
        <v>43</v>
      </c>
      <c r="C357" s="9">
        <v>10.026999999999999</v>
      </c>
      <c r="D357" s="22">
        <v>11.5</v>
      </c>
      <c r="E357" s="21"/>
      <c r="F357" s="21"/>
      <c r="G357" s="23" t="s">
        <v>17</v>
      </c>
      <c r="H357" s="12">
        <v>10000</v>
      </c>
      <c r="I357" s="13">
        <v>7000</v>
      </c>
      <c r="J357" s="11"/>
      <c r="K357" s="14">
        <f t="shared" si="47"/>
        <v>411.81818181817653</v>
      </c>
      <c r="L357" s="15">
        <v>11.04</v>
      </c>
      <c r="M357" s="15">
        <v>12.7</v>
      </c>
      <c r="N357" s="16">
        <f t="shared" si="43"/>
        <v>199300</v>
      </c>
      <c r="O357" s="17">
        <f t="shared" si="46"/>
        <v>181181.81818181818</v>
      </c>
      <c r="P357" s="18">
        <f t="shared" si="44"/>
        <v>180770</v>
      </c>
      <c r="Q357" s="32"/>
    </row>
    <row r="358" spans="1:17" x14ac:dyDescent="0.3">
      <c r="A358" s="7">
        <v>45391</v>
      </c>
      <c r="B358" s="8" t="s">
        <v>43</v>
      </c>
      <c r="C358" s="9">
        <v>10.026999999999999</v>
      </c>
      <c r="D358" s="22">
        <v>11.5</v>
      </c>
      <c r="E358" s="10">
        <v>60000</v>
      </c>
      <c r="F358" s="10">
        <v>77000</v>
      </c>
      <c r="G358" s="20" t="s">
        <v>17</v>
      </c>
      <c r="H358" s="12">
        <v>17000</v>
      </c>
      <c r="I358" s="13">
        <v>17000</v>
      </c>
      <c r="J358" s="11"/>
      <c r="K358" s="14">
        <f t="shared" si="47"/>
        <v>931.90909090905916</v>
      </c>
      <c r="L358" s="15">
        <v>11.04</v>
      </c>
      <c r="M358" s="15">
        <v>12.7</v>
      </c>
      <c r="N358" s="16">
        <f t="shared" si="43"/>
        <v>403580</v>
      </c>
      <c r="O358" s="17">
        <f t="shared" si="46"/>
        <v>366890.90909090906</v>
      </c>
      <c r="P358" s="18">
        <f t="shared" si="44"/>
        <v>365959</v>
      </c>
      <c r="Q358" s="32"/>
    </row>
    <row r="359" spans="1:17" x14ac:dyDescent="0.3">
      <c r="A359" s="7">
        <v>45391</v>
      </c>
      <c r="B359" s="8" t="s">
        <v>43</v>
      </c>
      <c r="C359" s="9">
        <v>10.026999999999999</v>
      </c>
      <c r="D359" s="22">
        <v>11.5</v>
      </c>
      <c r="E359" s="19"/>
      <c r="F359" s="19"/>
      <c r="G359" s="20" t="s">
        <v>17</v>
      </c>
      <c r="H359" s="12">
        <v>16000</v>
      </c>
      <c r="I359" s="13">
        <v>13000</v>
      </c>
      <c r="J359" s="11"/>
      <c r="K359" s="14">
        <f t="shared" si="47"/>
        <v>740.72727272723569</v>
      </c>
      <c r="L359" s="15">
        <v>11.04</v>
      </c>
      <c r="M359" s="15">
        <v>12.7</v>
      </c>
      <c r="N359" s="16">
        <f t="shared" si="43"/>
        <v>341740</v>
      </c>
      <c r="O359" s="17">
        <f t="shared" si="46"/>
        <v>310672.72727272724</v>
      </c>
      <c r="P359" s="18">
        <f t="shared" si="44"/>
        <v>309932</v>
      </c>
      <c r="Q359" s="32"/>
    </row>
    <row r="360" spans="1:17" x14ac:dyDescent="0.3">
      <c r="A360" s="7">
        <v>45391</v>
      </c>
      <c r="B360" s="8" t="s">
        <v>19</v>
      </c>
      <c r="C360" s="9">
        <v>10.026999999999999</v>
      </c>
      <c r="D360" s="22">
        <v>11.5</v>
      </c>
      <c r="E360" s="19"/>
      <c r="F360" s="19"/>
      <c r="G360" s="20" t="s">
        <v>17</v>
      </c>
      <c r="H360" s="12"/>
      <c r="I360" s="13">
        <v>4000</v>
      </c>
      <c r="J360" s="11"/>
      <c r="K360" s="14">
        <f t="shared" si="47"/>
        <v>181.81818181817653</v>
      </c>
      <c r="L360" s="15">
        <v>11.04</v>
      </c>
      <c r="M360" s="15">
        <v>12.7</v>
      </c>
      <c r="N360" s="16">
        <f t="shared" si="43"/>
        <v>50800</v>
      </c>
      <c r="O360" s="17">
        <f t="shared" si="46"/>
        <v>46181.818181818177</v>
      </c>
      <c r="P360" s="18">
        <f t="shared" si="44"/>
        <v>46000</v>
      </c>
      <c r="Q360" s="32"/>
    </row>
    <row r="361" spans="1:17" hidden="1" x14ac:dyDescent="0.3">
      <c r="A361" s="7">
        <v>45391</v>
      </c>
      <c r="B361" s="8" t="s">
        <v>19</v>
      </c>
      <c r="C361" s="9">
        <v>10.026999999999999</v>
      </c>
      <c r="D361" s="22">
        <v>11.5</v>
      </c>
      <c r="E361" s="19"/>
      <c r="F361" s="19"/>
      <c r="G361" s="20" t="s">
        <v>22</v>
      </c>
      <c r="H361" s="12">
        <v>4000</v>
      </c>
      <c r="I361" s="13"/>
      <c r="J361" s="11"/>
      <c r="K361" s="14">
        <f t="shared" si="47"/>
        <v>-40108</v>
      </c>
      <c r="L361" s="15"/>
      <c r="M361" s="15"/>
      <c r="N361" s="16">
        <f t="shared" si="43"/>
        <v>0</v>
      </c>
      <c r="O361" s="17">
        <f t="shared" si="46"/>
        <v>0</v>
      </c>
      <c r="P361" s="18">
        <f t="shared" si="44"/>
        <v>40108</v>
      </c>
      <c r="Q361" s="32"/>
    </row>
    <row r="362" spans="1:17" hidden="1" x14ac:dyDescent="0.3">
      <c r="A362" s="7">
        <v>45391</v>
      </c>
      <c r="B362" s="8" t="s">
        <v>43</v>
      </c>
      <c r="C362" s="9">
        <v>10.026999999999999</v>
      </c>
      <c r="D362" s="22">
        <v>11.5</v>
      </c>
      <c r="E362" s="19"/>
      <c r="F362" s="19"/>
      <c r="G362" s="20" t="s">
        <v>22</v>
      </c>
      <c r="H362" s="12"/>
      <c r="I362" s="13">
        <v>4000</v>
      </c>
      <c r="J362" s="11"/>
      <c r="K362" s="14">
        <f t="shared" si="47"/>
        <v>-46000</v>
      </c>
      <c r="L362" s="15"/>
      <c r="M362" s="15"/>
      <c r="N362" s="16">
        <f t="shared" si="43"/>
        <v>0</v>
      </c>
      <c r="O362" s="17">
        <f t="shared" si="46"/>
        <v>0</v>
      </c>
      <c r="P362" s="18">
        <f t="shared" si="44"/>
        <v>46000</v>
      </c>
      <c r="Q362" s="32"/>
    </row>
    <row r="363" spans="1:17" x14ac:dyDescent="0.3">
      <c r="A363" s="7">
        <v>45391</v>
      </c>
      <c r="B363" s="8" t="s">
        <v>43</v>
      </c>
      <c r="C363" s="9">
        <v>10.026999999999999</v>
      </c>
      <c r="D363" s="22">
        <v>11.5</v>
      </c>
      <c r="E363" s="19"/>
      <c r="F363" s="19"/>
      <c r="G363" s="20" t="s">
        <v>23</v>
      </c>
      <c r="H363" s="12">
        <v>11000</v>
      </c>
      <c r="I363" s="13">
        <v>6000</v>
      </c>
      <c r="J363" s="11"/>
      <c r="K363" s="14">
        <f t="shared" si="47"/>
        <v>23002.999999999971</v>
      </c>
      <c r="L363" s="15">
        <v>12.37</v>
      </c>
      <c r="M363" s="15">
        <v>14.41</v>
      </c>
      <c r="N363" s="16">
        <f t="shared" si="43"/>
        <v>222530</v>
      </c>
      <c r="O363" s="17">
        <f t="shared" si="46"/>
        <v>202299.99999999997</v>
      </c>
      <c r="P363" s="18">
        <f t="shared" si="44"/>
        <v>179297</v>
      </c>
      <c r="Q363" s="32"/>
    </row>
    <row r="364" spans="1:17" x14ac:dyDescent="0.3">
      <c r="A364" s="7">
        <v>45391</v>
      </c>
      <c r="B364" s="8" t="s">
        <v>43</v>
      </c>
      <c r="C364" s="9">
        <v>10.026999999999999</v>
      </c>
      <c r="D364" s="22">
        <v>11.5</v>
      </c>
      <c r="E364" s="19"/>
      <c r="F364" s="19"/>
      <c r="G364" s="20" t="s">
        <v>21</v>
      </c>
      <c r="H364" s="12">
        <v>12000</v>
      </c>
      <c r="I364" s="13"/>
      <c r="J364" s="11"/>
      <c r="K364" s="14">
        <f t="shared" si="47"/>
        <v>14621.454545454544</v>
      </c>
      <c r="L364" s="15">
        <v>12.37</v>
      </c>
      <c r="M364" s="15"/>
      <c r="N364" s="16">
        <f t="shared" si="43"/>
        <v>148440</v>
      </c>
      <c r="O364" s="17">
        <f t="shared" si="46"/>
        <v>134945.45454545453</v>
      </c>
      <c r="P364" s="18">
        <f t="shared" si="44"/>
        <v>120323.99999999999</v>
      </c>
      <c r="Q364" s="32"/>
    </row>
    <row r="365" spans="1:17" x14ac:dyDescent="0.3">
      <c r="A365" s="7">
        <v>45391</v>
      </c>
      <c r="B365" s="8" t="s">
        <v>43</v>
      </c>
      <c r="C365" s="9">
        <v>10.026999999999999</v>
      </c>
      <c r="D365" s="22">
        <v>11.5</v>
      </c>
      <c r="E365" s="21"/>
      <c r="F365" s="21"/>
      <c r="G365" s="11" t="s">
        <v>37</v>
      </c>
      <c r="H365" s="12"/>
      <c r="I365" s="13">
        <v>33000</v>
      </c>
      <c r="J365" s="11"/>
      <c r="K365" s="14">
        <f t="shared" si="47"/>
        <v>7499.9999999999418</v>
      </c>
      <c r="L365" s="15"/>
      <c r="M365" s="15">
        <v>12.9</v>
      </c>
      <c r="N365" s="16">
        <f t="shared" si="43"/>
        <v>425700</v>
      </c>
      <c r="O365" s="17">
        <f t="shared" si="46"/>
        <v>386999.99999999994</v>
      </c>
      <c r="P365" s="18">
        <f t="shared" si="44"/>
        <v>379500</v>
      </c>
      <c r="Q365" s="32"/>
    </row>
    <row r="366" spans="1:17" x14ac:dyDescent="0.3">
      <c r="A366" s="7">
        <v>45391</v>
      </c>
      <c r="B366" s="8" t="s">
        <v>19</v>
      </c>
      <c r="C366" s="9">
        <v>10.026999999999999</v>
      </c>
      <c r="D366" s="22">
        <v>11.5</v>
      </c>
      <c r="E366" s="12">
        <v>15000</v>
      </c>
      <c r="F366" s="12"/>
      <c r="G366" s="20" t="s">
        <v>21</v>
      </c>
      <c r="H366" s="12">
        <v>15000</v>
      </c>
      <c r="I366" s="13"/>
      <c r="J366" s="11"/>
      <c r="K366" s="14">
        <f t="shared" si="47"/>
        <v>18276.818181818177</v>
      </c>
      <c r="L366" s="15">
        <v>12.37</v>
      </c>
      <c r="M366" s="15"/>
      <c r="N366" s="16">
        <f t="shared" si="43"/>
        <v>185550</v>
      </c>
      <c r="O366" s="17">
        <f t="shared" si="46"/>
        <v>168681.81818181818</v>
      </c>
      <c r="P366" s="18">
        <f t="shared" si="44"/>
        <v>150405</v>
      </c>
      <c r="Q366" s="32"/>
    </row>
    <row r="367" spans="1:17" x14ac:dyDescent="0.3">
      <c r="A367" s="7">
        <v>45394</v>
      </c>
      <c r="B367" s="8" t="s">
        <v>43</v>
      </c>
      <c r="C367" s="9">
        <v>10.026999999999999</v>
      </c>
      <c r="D367" s="22">
        <v>11.5</v>
      </c>
      <c r="E367" s="12">
        <v>33000</v>
      </c>
      <c r="F367" s="12"/>
      <c r="G367" s="20" t="s">
        <v>17</v>
      </c>
      <c r="H367" s="12">
        <v>33000</v>
      </c>
      <c r="I367" s="13"/>
      <c r="J367" s="11"/>
      <c r="K367" s="14">
        <f t="shared" si="47"/>
        <v>309</v>
      </c>
      <c r="L367" s="15">
        <v>11.04</v>
      </c>
      <c r="M367" s="15">
        <v>12.7</v>
      </c>
      <c r="N367" s="16">
        <f t="shared" si="43"/>
        <v>364320</v>
      </c>
      <c r="O367" s="17">
        <f t="shared" si="46"/>
        <v>331200</v>
      </c>
      <c r="P367" s="18">
        <f t="shared" si="44"/>
        <v>330891</v>
      </c>
      <c r="Q367" s="32"/>
    </row>
    <row r="368" spans="1:17" x14ac:dyDescent="0.3">
      <c r="A368" s="7">
        <v>45397</v>
      </c>
      <c r="B368" s="8" t="s">
        <v>43</v>
      </c>
      <c r="C368" s="9">
        <v>10.026999999999999</v>
      </c>
      <c r="D368" s="22">
        <v>11.5</v>
      </c>
      <c r="E368" s="10">
        <v>105000</v>
      </c>
      <c r="F368" s="10">
        <v>124000</v>
      </c>
      <c r="G368" s="20" t="s">
        <v>21</v>
      </c>
      <c r="H368" s="12">
        <v>25000</v>
      </c>
      <c r="I368" s="13"/>
      <c r="J368" s="11"/>
      <c r="K368" s="14">
        <f t="shared" si="47"/>
        <v>30461.363636363618</v>
      </c>
      <c r="L368" s="15">
        <v>12.37</v>
      </c>
      <c r="M368" s="15"/>
      <c r="N368" s="16">
        <f t="shared" si="43"/>
        <v>309250</v>
      </c>
      <c r="O368" s="17">
        <f t="shared" si="46"/>
        <v>281136.36363636359</v>
      </c>
      <c r="P368" s="18">
        <f t="shared" si="44"/>
        <v>250674.99999999997</v>
      </c>
      <c r="Q368" s="32"/>
    </row>
    <row r="369" spans="1:17" hidden="1" x14ac:dyDescent="0.3">
      <c r="A369" s="7">
        <v>45397</v>
      </c>
      <c r="B369" s="8" t="s">
        <v>43</v>
      </c>
      <c r="C369" s="9">
        <v>10.026999999999999</v>
      </c>
      <c r="D369" s="22">
        <v>11.5</v>
      </c>
      <c r="E369" s="19"/>
      <c r="F369" s="19"/>
      <c r="G369" s="20" t="s">
        <v>22</v>
      </c>
      <c r="H369" s="12">
        <v>6000</v>
      </c>
      <c r="I369" s="12">
        <v>2000</v>
      </c>
      <c r="J369" s="11"/>
      <c r="K369" s="14">
        <f t="shared" si="47"/>
        <v>-83162</v>
      </c>
      <c r="L369" s="15"/>
      <c r="M369" s="15"/>
      <c r="N369" s="16">
        <f t="shared" si="43"/>
        <v>0</v>
      </c>
      <c r="O369" s="17">
        <f t="shared" si="46"/>
        <v>0</v>
      </c>
      <c r="P369" s="18">
        <f t="shared" si="44"/>
        <v>83162</v>
      </c>
      <c r="Q369" s="32"/>
    </row>
    <row r="370" spans="1:17" x14ac:dyDescent="0.3">
      <c r="A370" s="7">
        <v>45397</v>
      </c>
      <c r="B370" s="8" t="s">
        <v>43</v>
      </c>
      <c r="C370" s="9">
        <v>10.026999999999999</v>
      </c>
      <c r="D370" s="22">
        <v>11.5</v>
      </c>
      <c r="E370" s="19"/>
      <c r="F370" s="19"/>
      <c r="G370" s="11" t="s">
        <v>17</v>
      </c>
      <c r="H370" s="12">
        <v>17000</v>
      </c>
      <c r="I370" s="12">
        <v>16000</v>
      </c>
      <c r="J370" s="11"/>
      <c r="K370" s="14">
        <f t="shared" si="47"/>
        <v>886.45454545452958</v>
      </c>
      <c r="L370" s="15">
        <v>11.04</v>
      </c>
      <c r="M370" s="15">
        <v>12.7</v>
      </c>
      <c r="N370" s="16">
        <f t="shared" si="43"/>
        <v>390880</v>
      </c>
      <c r="O370" s="17">
        <f t="shared" si="46"/>
        <v>355345.45454545453</v>
      </c>
      <c r="P370" s="18">
        <f t="shared" si="44"/>
        <v>354459</v>
      </c>
      <c r="Q370" s="32"/>
    </row>
    <row r="371" spans="1:17" x14ac:dyDescent="0.3">
      <c r="A371" s="7">
        <v>45397</v>
      </c>
      <c r="B371" s="8" t="s">
        <v>43</v>
      </c>
      <c r="C371" s="9">
        <v>10.026999999999999</v>
      </c>
      <c r="D371" s="22">
        <v>11.5</v>
      </c>
      <c r="E371" s="19"/>
      <c r="F371" s="19"/>
      <c r="G371" s="11" t="s">
        <v>17</v>
      </c>
      <c r="H371" s="12"/>
      <c r="I371" s="13">
        <v>17000</v>
      </c>
      <c r="J371" s="11"/>
      <c r="K371" s="14">
        <f t="shared" si="47"/>
        <v>772.72727272726479</v>
      </c>
      <c r="L371" s="15">
        <v>11.04</v>
      </c>
      <c r="M371" s="15">
        <v>12.7</v>
      </c>
      <c r="N371" s="16">
        <f t="shared" si="43"/>
        <v>215900</v>
      </c>
      <c r="O371" s="17">
        <f t="shared" si="46"/>
        <v>196272.72727272726</v>
      </c>
      <c r="P371" s="18">
        <f t="shared" si="44"/>
        <v>195500</v>
      </c>
      <c r="Q371" s="32"/>
    </row>
    <row r="372" spans="1:17" x14ac:dyDescent="0.3">
      <c r="A372" s="7">
        <v>45397</v>
      </c>
      <c r="B372" s="8" t="s">
        <v>43</v>
      </c>
      <c r="C372" s="9">
        <v>10.026999999999999</v>
      </c>
      <c r="D372" s="22">
        <v>11.5</v>
      </c>
      <c r="E372" s="19"/>
      <c r="F372" s="19"/>
      <c r="G372" s="20" t="s">
        <v>17</v>
      </c>
      <c r="H372" s="12">
        <v>28000</v>
      </c>
      <c r="I372" s="13">
        <v>5000</v>
      </c>
      <c r="J372" s="11"/>
      <c r="K372" s="14">
        <f t="shared" si="47"/>
        <v>489.45454545452958</v>
      </c>
      <c r="L372" s="15">
        <v>11.04</v>
      </c>
      <c r="M372" s="15">
        <v>12.7</v>
      </c>
      <c r="N372" s="16">
        <f t="shared" si="43"/>
        <v>372620</v>
      </c>
      <c r="O372" s="17">
        <f t="shared" si="46"/>
        <v>338745.45454545453</v>
      </c>
      <c r="P372" s="18">
        <f t="shared" si="44"/>
        <v>338256</v>
      </c>
      <c r="Q372" s="32"/>
    </row>
    <row r="373" spans="1:17" x14ac:dyDescent="0.3">
      <c r="A373" s="7">
        <v>45397</v>
      </c>
      <c r="B373" s="8" t="s">
        <v>43</v>
      </c>
      <c r="C373" s="9">
        <v>10.026999999999999</v>
      </c>
      <c r="D373" s="22">
        <v>11.5</v>
      </c>
      <c r="E373" s="19"/>
      <c r="F373" s="19"/>
      <c r="G373" s="20" t="s">
        <v>17</v>
      </c>
      <c r="H373" s="12"/>
      <c r="I373" s="13">
        <v>15000</v>
      </c>
      <c r="J373" s="11"/>
      <c r="K373" s="14">
        <f t="shared" si="47"/>
        <v>681.81818181817653</v>
      </c>
      <c r="L373" s="15">
        <v>11.04</v>
      </c>
      <c r="M373" s="15">
        <v>12.7</v>
      </c>
      <c r="N373" s="16">
        <f t="shared" si="43"/>
        <v>190500</v>
      </c>
      <c r="O373" s="17">
        <f t="shared" si="46"/>
        <v>173181.81818181818</v>
      </c>
      <c r="P373" s="18">
        <f t="shared" si="44"/>
        <v>172500</v>
      </c>
      <c r="Q373" s="32"/>
    </row>
    <row r="374" spans="1:17" x14ac:dyDescent="0.3">
      <c r="A374" s="7">
        <v>45397</v>
      </c>
      <c r="B374" s="8" t="s">
        <v>43</v>
      </c>
      <c r="C374" s="9">
        <v>10.026999999999999</v>
      </c>
      <c r="D374" s="22">
        <v>11.5</v>
      </c>
      <c r="E374" s="19"/>
      <c r="F374" s="19"/>
      <c r="G374" s="20" t="s">
        <v>32</v>
      </c>
      <c r="H374" s="12">
        <v>16000</v>
      </c>
      <c r="I374" s="13">
        <v>16000</v>
      </c>
      <c r="J374" s="11"/>
      <c r="K374" s="14">
        <f t="shared" si="47"/>
        <v>2477.0909090908826</v>
      </c>
      <c r="L374" s="15">
        <v>11.05</v>
      </c>
      <c r="M374" s="15">
        <v>12.8</v>
      </c>
      <c r="N374" s="16">
        <f t="shared" si="43"/>
        <v>381600</v>
      </c>
      <c r="O374" s="17">
        <f t="shared" si="46"/>
        <v>346909.09090909088</v>
      </c>
      <c r="P374" s="18">
        <f t="shared" si="44"/>
        <v>344432</v>
      </c>
      <c r="Q374" s="32"/>
    </row>
    <row r="375" spans="1:17" x14ac:dyDescent="0.3">
      <c r="A375" s="7">
        <v>45397</v>
      </c>
      <c r="B375" s="8" t="s">
        <v>43</v>
      </c>
      <c r="C375" s="9">
        <v>10.026999999999999</v>
      </c>
      <c r="D375" s="22">
        <v>11.5</v>
      </c>
      <c r="E375" s="19"/>
      <c r="F375" s="19"/>
      <c r="G375" s="11" t="s">
        <v>32</v>
      </c>
      <c r="H375" s="12">
        <v>13000</v>
      </c>
      <c r="I375" s="13">
        <v>20000</v>
      </c>
      <c r="J375" s="11"/>
      <c r="K375" s="14">
        <f t="shared" si="47"/>
        <v>2967.1818181817653</v>
      </c>
      <c r="L375" s="15">
        <v>11.05</v>
      </c>
      <c r="M375" s="15">
        <v>12.8</v>
      </c>
      <c r="N375" s="16">
        <f t="shared" si="43"/>
        <v>399650</v>
      </c>
      <c r="O375" s="17">
        <f t="shared" si="46"/>
        <v>363318.18181818177</v>
      </c>
      <c r="P375" s="18">
        <f t="shared" si="44"/>
        <v>360351</v>
      </c>
      <c r="Q375" s="32"/>
    </row>
    <row r="376" spans="1:17" x14ac:dyDescent="0.3">
      <c r="A376" s="7">
        <v>45397</v>
      </c>
      <c r="B376" s="8" t="s">
        <v>43</v>
      </c>
      <c r="C376" s="9">
        <v>10.026999999999999</v>
      </c>
      <c r="D376" s="22">
        <v>11.5</v>
      </c>
      <c r="E376" s="21"/>
      <c r="F376" s="21"/>
      <c r="G376" s="11" t="s">
        <v>37</v>
      </c>
      <c r="H376" s="12"/>
      <c r="I376" s="13">
        <v>33000</v>
      </c>
      <c r="J376" s="11"/>
      <c r="K376" s="14">
        <f t="shared" si="47"/>
        <v>7499.9999999999418</v>
      </c>
      <c r="L376" s="15"/>
      <c r="M376" s="15">
        <v>12.9</v>
      </c>
      <c r="N376" s="16">
        <f t="shared" si="43"/>
        <v>425700</v>
      </c>
      <c r="O376" s="17">
        <f t="shared" si="46"/>
        <v>386999.99999999994</v>
      </c>
      <c r="P376" s="18">
        <f t="shared" si="44"/>
        <v>379500</v>
      </c>
      <c r="Q376" s="32"/>
    </row>
    <row r="377" spans="1:17" x14ac:dyDescent="0.3">
      <c r="A377" s="7">
        <v>45397</v>
      </c>
      <c r="B377" s="8" t="s">
        <v>19</v>
      </c>
      <c r="C377" s="9">
        <v>10.026999999999999</v>
      </c>
      <c r="D377" s="22">
        <v>11.5</v>
      </c>
      <c r="E377" s="12">
        <v>3000</v>
      </c>
      <c r="F377" s="12"/>
      <c r="G377" s="11" t="s">
        <v>30</v>
      </c>
      <c r="H377" s="12">
        <v>3000</v>
      </c>
      <c r="I377" s="13"/>
      <c r="J377" s="11"/>
      <c r="K377" s="14">
        <f t="shared" si="47"/>
        <v>709.9090909090919</v>
      </c>
      <c r="L377" s="15">
        <v>11.29</v>
      </c>
      <c r="M377" s="15"/>
      <c r="N377" s="16">
        <f t="shared" si="43"/>
        <v>33870</v>
      </c>
      <c r="O377" s="17">
        <f t="shared" si="46"/>
        <v>30790.909090909088</v>
      </c>
      <c r="P377" s="18">
        <f t="shared" si="44"/>
        <v>30080.999999999996</v>
      </c>
      <c r="Q377" s="32"/>
    </row>
    <row r="378" spans="1:17" x14ac:dyDescent="0.3">
      <c r="A378" s="7">
        <v>45399</v>
      </c>
      <c r="B378" s="8" t="s">
        <v>43</v>
      </c>
      <c r="C378" s="9">
        <v>10.115</v>
      </c>
      <c r="D378" s="9">
        <v>11.894</v>
      </c>
      <c r="E378" s="10">
        <v>60000</v>
      </c>
      <c r="F378" s="10">
        <v>53000</v>
      </c>
      <c r="G378" s="11" t="s">
        <v>27</v>
      </c>
      <c r="H378" s="12">
        <v>27000</v>
      </c>
      <c r="I378" s="13">
        <v>6000</v>
      </c>
      <c r="J378" s="11"/>
      <c r="K378" s="14">
        <f t="shared" si="47"/>
        <v>29930.999999999942</v>
      </c>
      <c r="L378" s="15">
        <v>12.06</v>
      </c>
      <c r="M378" s="15">
        <v>14.37</v>
      </c>
      <c r="N378" s="16">
        <f t="shared" si="43"/>
        <v>411840</v>
      </c>
      <c r="O378" s="17">
        <f t="shared" si="46"/>
        <v>374399.99999999994</v>
      </c>
      <c r="P378" s="18">
        <f t="shared" si="44"/>
        <v>344469</v>
      </c>
      <c r="Q378" s="32"/>
    </row>
    <row r="379" spans="1:17" x14ac:dyDescent="0.3">
      <c r="A379" s="7">
        <v>45399</v>
      </c>
      <c r="B379" s="8" t="s">
        <v>43</v>
      </c>
      <c r="C379" s="9">
        <v>10.115</v>
      </c>
      <c r="D379" s="9">
        <v>11.894</v>
      </c>
      <c r="E379" s="19"/>
      <c r="F379" s="19"/>
      <c r="G379" s="11" t="s">
        <v>23</v>
      </c>
      <c r="H379" s="12">
        <v>10000</v>
      </c>
      <c r="I379" s="13">
        <v>4000</v>
      </c>
      <c r="J379" s="11"/>
      <c r="K379" s="14">
        <f t="shared" si="47"/>
        <v>16455.818181818177</v>
      </c>
      <c r="L379" s="15">
        <v>12.37</v>
      </c>
      <c r="M379" s="15">
        <v>14.5</v>
      </c>
      <c r="N379" s="16">
        <f t="shared" si="43"/>
        <v>181700</v>
      </c>
      <c r="O379" s="17">
        <f t="shared" si="46"/>
        <v>165181.81818181818</v>
      </c>
      <c r="P379" s="18">
        <f t="shared" si="44"/>
        <v>148726</v>
      </c>
      <c r="Q379" s="32"/>
    </row>
    <row r="380" spans="1:17" x14ac:dyDescent="0.3">
      <c r="A380" s="7">
        <v>45399</v>
      </c>
      <c r="B380" s="8" t="s">
        <v>43</v>
      </c>
      <c r="C380" s="9">
        <v>10.115</v>
      </c>
      <c r="D380" s="9">
        <v>11.894</v>
      </c>
      <c r="E380" s="19"/>
      <c r="F380" s="19"/>
      <c r="G380" s="11" t="s">
        <v>26</v>
      </c>
      <c r="H380" s="12">
        <v>23000</v>
      </c>
      <c r="I380" s="13">
        <v>10000</v>
      </c>
      <c r="J380" s="11"/>
      <c r="K380" s="14">
        <f t="shared" si="47"/>
        <v>46542.272727272706</v>
      </c>
      <c r="L380" s="15">
        <v>12.68</v>
      </c>
      <c r="M380" s="15">
        <v>14.63</v>
      </c>
      <c r="N380" s="16">
        <f t="shared" si="43"/>
        <v>437940</v>
      </c>
      <c r="O380" s="17">
        <f t="shared" si="46"/>
        <v>398127.27272727271</v>
      </c>
      <c r="P380" s="18">
        <f t="shared" si="44"/>
        <v>351585</v>
      </c>
      <c r="Q380" s="32"/>
    </row>
    <row r="381" spans="1:17" x14ac:dyDescent="0.3">
      <c r="A381" s="7">
        <v>45399</v>
      </c>
      <c r="B381" s="8" t="s">
        <v>43</v>
      </c>
      <c r="C381" s="9">
        <v>10.115</v>
      </c>
      <c r="D381" s="9">
        <v>11.894</v>
      </c>
      <c r="E381" s="21"/>
      <c r="F381" s="21"/>
      <c r="G381" s="11" t="s">
        <v>37</v>
      </c>
      <c r="H381" s="12"/>
      <c r="I381" s="13">
        <v>33000</v>
      </c>
      <c r="J381" s="11"/>
      <c r="K381" s="14">
        <f t="shared" si="47"/>
        <v>7997.9999999999418</v>
      </c>
      <c r="L381" s="15"/>
      <c r="M381" s="15">
        <v>13.35</v>
      </c>
      <c r="N381" s="16">
        <f t="shared" si="43"/>
        <v>440550</v>
      </c>
      <c r="O381" s="17">
        <f t="shared" si="46"/>
        <v>400499.99999999994</v>
      </c>
      <c r="P381" s="18">
        <f t="shared" si="44"/>
        <v>392502</v>
      </c>
      <c r="Q381" s="32"/>
    </row>
    <row r="382" spans="1:17" x14ac:dyDescent="0.3">
      <c r="A382" s="7">
        <v>45399</v>
      </c>
      <c r="B382" s="8" t="s">
        <v>39</v>
      </c>
      <c r="C382" s="9">
        <v>9.9939999999999998</v>
      </c>
      <c r="D382" s="9">
        <v>11.411</v>
      </c>
      <c r="E382" s="10">
        <v>48000</v>
      </c>
      <c r="F382" s="10">
        <v>18000</v>
      </c>
      <c r="G382" s="11" t="s">
        <v>17</v>
      </c>
      <c r="H382" s="12">
        <v>15000</v>
      </c>
      <c r="I382" s="13">
        <v>18000</v>
      </c>
      <c r="J382" s="11"/>
      <c r="K382" s="14">
        <f t="shared" si="47"/>
        <v>3192</v>
      </c>
      <c r="L382" s="15">
        <v>11.05</v>
      </c>
      <c r="M382" s="15">
        <v>12.7</v>
      </c>
      <c r="N382" s="16">
        <f t="shared" si="43"/>
        <v>394350</v>
      </c>
      <c r="O382" s="17">
        <f t="shared" si="46"/>
        <v>358500</v>
      </c>
      <c r="P382" s="18">
        <f t="shared" si="44"/>
        <v>355308</v>
      </c>
      <c r="Q382" s="32">
        <v>379500</v>
      </c>
    </row>
    <row r="383" spans="1:17" x14ac:dyDescent="0.3">
      <c r="A383" s="7">
        <v>45399</v>
      </c>
      <c r="B383" s="8" t="s">
        <v>39</v>
      </c>
      <c r="C383" s="9">
        <v>9.9939999999999998</v>
      </c>
      <c r="D383" s="9">
        <v>11.411</v>
      </c>
      <c r="E383" s="19"/>
      <c r="F383" s="19"/>
      <c r="G383" s="11" t="s">
        <v>17</v>
      </c>
      <c r="H383" s="12">
        <v>33000</v>
      </c>
      <c r="I383" s="13"/>
      <c r="J383" s="11"/>
      <c r="K383" s="14">
        <f t="shared" si="47"/>
        <v>1698</v>
      </c>
      <c r="L383" s="15">
        <v>11.05</v>
      </c>
      <c r="M383" s="15">
        <v>12.7</v>
      </c>
      <c r="N383" s="16">
        <f t="shared" si="43"/>
        <v>364650</v>
      </c>
      <c r="O383" s="17">
        <f t="shared" si="46"/>
        <v>331500</v>
      </c>
      <c r="P383" s="18">
        <f t="shared" si="44"/>
        <v>329802</v>
      </c>
      <c r="Q383" s="32">
        <v>394350</v>
      </c>
    </row>
    <row r="384" spans="1:17" x14ac:dyDescent="0.3">
      <c r="A384" s="7">
        <v>45400</v>
      </c>
      <c r="B384" s="8" t="s">
        <v>39</v>
      </c>
      <c r="C384" s="9">
        <v>9.9939999999999998</v>
      </c>
      <c r="D384" s="9">
        <v>11.411</v>
      </c>
      <c r="E384" s="10">
        <v>57000</v>
      </c>
      <c r="F384" s="10">
        <v>26000</v>
      </c>
      <c r="G384" s="11" t="s">
        <v>17</v>
      </c>
      <c r="H384" s="12">
        <v>24000</v>
      </c>
      <c r="I384" s="13">
        <v>9000</v>
      </c>
      <c r="J384" s="11"/>
      <c r="K384" s="14">
        <f t="shared" si="47"/>
        <v>2445</v>
      </c>
      <c r="L384" s="15">
        <v>11.05</v>
      </c>
      <c r="M384" s="15">
        <v>12.7</v>
      </c>
      <c r="N384" s="16">
        <f t="shared" si="43"/>
        <v>379500</v>
      </c>
      <c r="O384" s="17">
        <f t="shared" si="46"/>
        <v>345000</v>
      </c>
      <c r="P384" s="18">
        <f t="shared" si="44"/>
        <v>342555</v>
      </c>
      <c r="Q384" s="32">
        <v>321500</v>
      </c>
    </row>
    <row r="385" spans="1:17" x14ac:dyDescent="0.3">
      <c r="A385" s="7">
        <v>45400</v>
      </c>
      <c r="B385" s="8" t="s">
        <v>39</v>
      </c>
      <c r="C385" s="9">
        <v>9.9939999999999998</v>
      </c>
      <c r="D385" s="9">
        <v>11.411</v>
      </c>
      <c r="E385" s="19"/>
      <c r="F385" s="19"/>
      <c r="G385" s="11" t="s">
        <v>17</v>
      </c>
      <c r="H385" s="12">
        <v>33000</v>
      </c>
      <c r="I385" s="13"/>
      <c r="J385" s="11"/>
      <c r="K385" s="14">
        <f t="shared" si="47"/>
        <v>1698</v>
      </c>
      <c r="L385" s="15">
        <v>11.05</v>
      </c>
      <c r="M385" s="15">
        <v>12.7</v>
      </c>
      <c r="N385" s="16">
        <f t="shared" si="43"/>
        <v>364650</v>
      </c>
      <c r="O385" s="17">
        <f t="shared" si="46"/>
        <v>331500</v>
      </c>
      <c r="P385" s="18">
        <f t="shared" si="44"/>
        <v>329802</v>
      </c>
      <c r="Q385" s="32">
        <v>200000</v>
      </c>
    </row>
    <row r="386" spans="1:17" hidden="1" x14ac:dyDescent="0.3">
      <c r="A386" s="7">
        <v>45400</v>
      </c>
      <c r="B386" s="8" t="s">
        <v>39</v>
      </c>
      <c r="C386" s="9">
        <v>9.9939999999999998</v>
      </c>
      <c r="D386" s="9">
        <v>11.411</v>
      </c>
      <c r="E386" s="19"/>
      <c r="F386" s="19"/>
      <c r="G386" s="11" t="s">
        <v>22</v>
      </c>
      <c r="H386" s="12"/>
      <c r="I386" s="13">
        <v>11000</v>
      </c>
      <c r="J386" s="11"/>
      <c r="K386" s="14">
        <f t="shared" si="47"/>
        <v>-125521</v>
      </c>
      <c r="L386" s="15">
        <v>0</v>
      </c>
      <c r="M386" s="15">
        <v>0</v>
      </c>
      <c r="N386" s="16">
        <f t="shared" si="43"/>
        <v>0</v>
      </c>
      <c r="O386" s="17">
        <f t="shared" si="46"/>
        <v>0</v>
      </c>
      <c r="P386" s="18">
        <f t="shared" si="44"/>
        <v>125521</v>
      </c>
      <c r="Q386" s="32">
        <v>100000</v>
      </c>
    </row>
    <row r="387" spans="1:17" x14ac:dyDescent="0.3">
      <c r="A387" s="7">
        <v>45400</v>
      </c>
      <c r="B387" s="8" t="s">
        <v>39</v>
      </c>
      <c r="C387" s="9">
        <v>9.9939999999999998</v>
      </c>
      <c r="D387" s="9">
        <v>11.411</v>
      </c>
      <c r="E387" s="21"/>
      <c r="F387" s="21"/>
      <c r="G387" s="11" t="s">
        <v>17</v>
      </c>
      <c r="H387" s="12"/>
      <c r="I387" s="13">
        <v>6000</v>
      </c>
      <c r="J387" s="11"/>
      <c r="K387" s="14">
        <f t="shared" si="47"/>
        <v>806.72727272726479</v>
      </c>
      <c r="L387" s="15"/>
      <c r="M387" s="15">
        <v>12.7</v>
      </c>
      <c r="N387" s="16">
        <f t="shared" si="43"/>
        <v>76200</v>
      </c>
      <c r="O387" s="17">
        <f t="shared" si="46"/>
        <v>69272.727272727265</v>
      </c>
      <c r="P387" s="18">
        <f t="shared" si="44"/>
        <v>68466</v>
      </c>
      <c r="Q387" s="32">
        <v>110000</v>
      </c>
    </row>
    <row r="388" spans="1:17" x14ac:dyDescent="0.3">
      <c r="A388" s="7">
        <v>45400</v>
      </c>
      <c r="B388" s="8" t="s">
        <v>19</v>
      </c>
      <c r="C388" s="9">
        <v>10.026999999999999</v>
      </c>
      <c r="D388" s="22">
        <v>11.5</v>
      </c>
      <c r="E388" s="12">
        <v>2000</v>
      </c>
      <c r="F388" s="12"/>
      <c r="G388" s="11" t="s">
        <v>30</v>
      </c>
      <c r="H388" s="12">
        <v>2000</v>
      </c>
      <c r="I388" s="13"/>
      <c r="J388" s="11"/>
      <c r="K388" s="14">
        <f t="shared" si="47"/>
        <v>655.0909090909081</v>
      </c>
      <c r="L388" s="15">
        <v>11.39</v>
      </c>
      <c r="M388" s="15"/>
      <c r="N388" s="16">
        <f t="shared" si="43"/>
        <v>22780</v>
      </c>
      <c r="O388" s="17">
        <f t="shared" si="46"/>
        <v>20709.090909090908</v>
      </c>
      <c r="P388" s="18">
        <f t="shared" si="44"/>
        <v>20054</v>
      </c>
      <c r="Q388" s="32">
        <f>SUM(Q382:Q387)</f>
        <v>1505350</v>
      </c>
    </row>
    <row r="389" spans="1:17" x14ac:dyDescent="0.3">
      <c r="A389" s="7">
        <v>45401</v>
      </c>
      <c r="B389" s="8" t="s">
        <v>39</v>
      </c>
      <c r="C389" s="9">
        <v>10.06</v>
      </c>
      <c r="D389" s="9">
        <v>11.680999999999999</v>
      </c>
      <c r="E389" s="12">
        <v>17000</v>
      </c>
      <c r="F389" s="12"/>
      <c r="G389" s="11" t="s">
        <v>17</v>
      </c>
      <c r="H389" s="12">
        <v>17000</v>
      </c>
      <c r="I389" s="13"/>
      <c r="J389" s="11"/>
      <c r="K389" s="14">
        <f t="shared" si="47"/>
        <v>834.54545454544132</v>
      </c>
      <c r="L389" s="15">
        <v>11.12</v>
      </c>
      <c r="M389" s="15"/>
      <c r="N389" s="16">
        <f t="shared" si="43"/>
        <v>189040</v>
      </c>
      <c r="O389" s="17">
        <f t="shared" si="46"/>
        <v>171854.54545454544</v>
      </c>
      <c r="P389" s="18">
        <f t="shared" si="44"/>
        <v>171020</v>
      </c>
      <c r="Q389" s="32"/>
    </row>
    <row r="390" spans="1:17" x14ac:dyDescent="0.3">
      <c r="A390" s="7">
        <v>45401</v>
      </c>
      <c r="B390" s="8" t="s">
        <v>43</v>
      </c>
      <c r="C390" s="9">
        <v>10.115</v>
      </c>
      <c r="D390" s="9">
        <v>11.894</v>
      </c>
      <c r="E390" s="10">
        <v>61000</v>
      </c>
      <c r="F390" s="10">
        <v>4000</v>
      </c>
      <c r="G390" s="11" t="s">
        <v>21</v>
      </c>
      <c r="H390" s="12">
        <v>24000</v>
      </c>
      <c r="I390" s="13">
        <v>4000</v>
      </c>
      <c r="J390" s="11"/>
      <c r="K390" s="14">
        <f t="shared" si="47"/>
        <v>34136.727272727236</v>
      </c>
      <c r="L390" s="15">
        <v>12.45</v>
      </c>
      <c r="M390" s="15">
        <v>14.53</v>
      </c>
      <c r="N390" s="16">
        <f t="shared" ref="N390:N407" si="48">(H390*L390)+(I390*M390)</f>
        <v>356920</v>
      </c>
      <c r="O390" s="17">
        <f t="shared" si="46"/>
        <v>324472.72727272724</v>
      </c>
      <c r="P390" s="18">
        <f t="shared" ref="P390:P453" si="49">(C390*H390)+(I390*D390)</f>
        <v>290336</v>
      </c>
      <c r="Q390" s="32"/>
    </row>
    <row r="391" spans="1:17" x14ac:dyDescent="0.3">
      <c r="A391" s="7">
        <v>45401</v>
      </c>
      <c r="B391" s="8" t="s">
        <v>43</v>
      </c>
      <c r="C391" s="9">
        <v>10.115</v>
      </c>
      <c r="D391" s="9">
        <v>11.894</v>
      </c>
      <c r="E391" s="19"/>
      <c r="F391" s="19"/>
      <c r="G391" s="11" t="s">
        <v>30</v>
      </c>
      <c r="H391" s="12">
        <v>5000</v>
      </c>
      <c r="I391" s="13"/>
      <c r="J391" s="11"/>
      <c r="K391" s="14">
        <f t="shared" si="47"/>
        <v>1197.7272727272721</v>
      </c>
      <c r="L391" s="15">
        <v>11.39</v>
      </c>
      <c r="M391" s="15"/>
      <c r="N391" s="16">
        <f t="shared" si="48"/>
        <v>56950</v>
      </c>
      <c r="O391" s="17">
        <f t="shared" si="46"/>
        <v>51772.727272727272</v>
      </c>
      <c r="P391" s="18">
        <f t="shared" si="49"/>
        <v>50575</v>
      </c>
      <c r="Q391" s="32"/>
    </row>
    <row r="392" spans="1:17" x14ac:dyDescent="0.3">
      <c r="A392" s="7">
        <v>45401</v>
      </c>
      <c r="B392" s="8" t="s">
        <v>43</v>
      </c>
      <c r="C392" s="9">
        <v>10.115</v>
      </c>
      <c r="D392" s="9">
        <v>11.894</v>
      </c>
      <c r="E392" s="21"/>
      <c r="F392" s="21"/>
      <c r="G392" s="11" t="s">
        <v>31</v>
      </c>
      <c r="H392" s="12">
        <v>32000</v>
      </c>
      <c r="I392" s="13"/>
      <c r="J392" s="11"/>
      <c r="K392" s="14">
        <f t="shared" si="47"/>
        <v>30647.272727272706</v>
      </c>
      <c r="L392" s="15">
        <v>12.18</v>
      </c>
      <c r="M392" s="15"/>
      <c r="N392" s="16">
        <f t="shared" si="48"/>
        <v>389760</v>
      </c>
      <c r="O392" s="17">
        <f t="shared" si="46"/>
        <v>354327.27272727271</v>
      </c>
      <c r="P392" s="18">
        <f t="shared" si="49"/>
        <v>323680</v>
      </c>
      <c r="Q392" s="32"/>
    </row>
    <row r="393" spans="1:17" x14ac:dyDescent="0.3">
      <c r="A393" s="7">
        <v>45402</v>
      </c>
      <c r="B393" s="8" t="s">
        <v>39</v>
      </c>
      <c r="C393" s="9">
        <v>10.06</v>
      </c>
      <c r="D393" s="9">
        <v>11.680999999999999</v>
      </c>
      <c r="E393" s="10">
        <v>35000</v>
      </c>
      <c r="F393" s="10">
        <v>10000</v>
      </c>
      <c r="G393" s="11" t="s">
        <v>23</v>
      </c>
      <c r="H393" s="12">
        <v>12000</v>
      </c>
      <c r="I393" s="13"/>
      <c r="J393" s="11"/>
      <c r="K393" s="14">
        <f t="shared" si="47"/>
        <v>14225.45454545453</v>
      </c>
      <c r="L393" s="15">
        <v>12.37</v>
      </c>
      <c r="M393" s="15">
        <v>14.5</v>
      </c>
      <c r="N393" s="16">
        <f t="shared" si="48"/>
        <v>148440</v>
      </c>
      <c r="O393" s="17">
        <f t="shared" si="46"/>
        <v>134945.45454545453</v>
      </c>
      <c r="P393" s="18">
        <f t="shared" si="49"/>
        <v>120720</v>
      </c>
      <c r="Q393" s="32"/>
    </row>
    <row r="394" spans="1:17" x14ac:dyDescent="0.3">
      <c r="A394" s="7">
        <v>45402</v>
      </c>
      <c r="B394" s="8" t="s">
        <v>39</v>
      </c>
      <c r="C394" s="9">
        <v>10.06</v>
      </c>
      <c r="D394" s="9">
        <v>11.680999999999999</v>
      </c>
      <c r="E394" s="21"/>
      <c r="F394" s="21"/>
      <c r="G394" s="11" t="s">
        <v>28</v>
      </c>
      <c r="H394" s="12">
        <v>23000</v>
      </c>
      <c r="I394" s="13">
        <v>10000</v>
      </c>
      <c r="J394" s="11"/>
      <c r="K394" s="14">
        <f t="shared" si="47"/>
        <v>43609.999999999942</v>
      </c>
      <c r="L394" s="15">
        <v>12.46</v>
      </c>
      <c r="M394" s="15">
        <v>14.44</v>
      </c>
      <c r="N394" s="16">
        <f t="shared" si="48"/>
        <v>430980</v>
      </c>
      <c r="O394" s="17">
        <f t="shared" si="46"/>
        <v>391799.99999999994</v>
      </c>
      <c r="P394" s="18">
        <f t="shared" si="49"/>
        <v>348190</v>
      </c>
      <c r="Q394" s="32"/>
    </row>
    <row r="395" spans="1:17" x14ac:dyDescent="0.3">
      <c r="A395" s="7">
        <v>45404</v>
      </c>
      <c r="B395" s="8" t="s">
        <v>20</v>
      </c>
      <c r="C395" s="9">
        <f>11/1.1</f>
        <v>10</v>
      </c>
      <c r="D395" s="22"/>
      <c r="E395" s="10">
        <v>33000</v>
      </c>
      <c r="F395" s="12"/>
      <c r="G395" s="11" t="s">
        <v>30</v>
      </c>
      <c r="H395" s="12">
        <v>8000</v>
      </c>
      <c r="I395" s="13"/>
      <c r="J395" s="11"/>
      <c r="K395" s="14">
        <f t="shared" si="47"/>
        <v>2836.3636363636324</v>
      </c>
      <c r="L395" s="15">
        <v>11.39</v>
      </c>
      <c r="M395" s="15"/>
      <c r="N395" s="16">
        <f t="shared" si="48"/>
        <v>91120</v>
      </c>
      <c r="O395" s="17">
        <f t="shared" si="46"/>
        <v>82836.363636363632</v>
      </c>
      <c r="P395" s="18">
        <f t="shared" si="49"/>
        <v>80000</v>
      </c>
      <c r="Q395" s="32"/>
    </row>
    <row r="396" spans="1:17" hidden="1" x14ac:dyDescent="0.3">
      <c r="A396" s="7">
        <v>45404</v>
      </c>
      <c r="B396" s="8" t="s">
        <v>20</v>
      </c>
      <c r="C396" s="9">
        <f t="shared" ref="C396:C400" si="50">11/1.1</f>
        <v>10</v>
      </c>
      <c r="D396" s="9"/>
      <c r="E396" s="19"/>
      <c r="F396" s="12"/>
      <c r="G396" s="11" t="s">
        <v>22</v>
      </c>
      <c r="H396" s="12">
        <v>12000</v>
      </c>
      <c r="I396" s="13"/>
      <c r="J396" s="11"/>
      <c r="K396" s="14">
        <f>O396-P396</f>
        <v>-120000</v>
      </c>
      <c r="L396" s="15"/>
      <c r="M396" s="15"/>
      <c r="N396" s="16">
        <f>(H396*L396+(I396*M396))</f>
        <v>0</v>
      </c>
      <c r="O396" s="17">
        <f t="shared" si="46"/>
        <v>0</v>
      </c>
      <c r="P396" s="18">
        <f t="shared" si="49"/>
        <v>120000</v>
      </c>
      <c r="Q396" s="32"/>
    </row>
    <row r="397" spans="1:17" x14ac:dyDescent="0.3">
      <c r="A397" s="7">
        <v>45404</v>
      </c>
      <c r="B397" s="8" t="s">
        <v>20</v>
      </c>
      <c r="C397" s="9">
        <f t="shared" si="50"/>
        <v>10</v>
      </c>
      <c r="D397" s="22"/>
      <c r="E397" s="21"/>
      <c r="F397" s="12"/>
      <c r="G397" s="20" t="s">
        <v>25</v>
      </c>
      <c r="H397" s="12">
        <v>13000</v>
      </c>
      <c r="I397" s="13"/>
      <c r="J397" s="11"/>
      <c r="K397" s="14">
        <f>O397-P397</f>
        <v>18909.090909090883</v>
      </c>
      <c r="L397" s="27">
        <v>12.6</v>
      </c>
      <c r="M397" s="15"/>
      <c r="N397" s="16">
        <f>(H397*L397+(I397*M397))</f>
        <v>163800</v>
      </c>
      <c r="O397" s="17">
        <f>N397/1.1</f>
        <v>148909.09090909088</v>
      </c>
      <c r="P397" s="18">
        <f>(C397*H397)+(I397*D397)</f>
        <v>130000</v>
      </c>
      <c r="Q397" s="32"/>
    </row>
    <row r="398" spans="1:17" x14ac:dyDescent="0.3">
      <c r="A398" s="7">
        <v>45404</v>
      </c>
      <c r="B398" s="8" t="s">
        <v>19</v>
      </c>
      <c r="C398" s="9">
        <v>9.9939999999999998</v>
      </c>
      <c r="D398" s="9">
        <v>11.411</v>
      </c>
      <c r="E398" s="12"/>
      <c r="F398" s="12">
        <v>4000</v>
      </c>
      <c r="G398" s="20" t="s">
        <v>25</v>
      </c>
      <c r="H398" s="12">
        <v>0</v>
      </c>
      <c r="I398" s="13">
        <v>4000</v>
      </c>
      <c r="J398" s="11"/>
      <c r="K398" s="14">
        <f t="shared" si="47"/>
        <v>7628.7272727272648</v>
      </c>
      <c r="L398" s="15"/>
      <c r="M398" s="15">
        <v>14.65</v>
      </c>
      <c r="N398" s="16">
        <f t="shared" si="48"/>
        <v>58600</v>
      </c>
      <c r="O398" s="17">
        <f t="shared" si="46"/>
        <v>53272.727272727265</v>
      </c>
      <c r="P398" s="18">
        <f t="shared" si="49"/>
        <v>45644</v>
      </c>
      <c r="Q398" s="32"/>
    </row>
    <row r="399" spans="1:17" x14ac:dyDescent="0.3">
      <c r="A399" s="7">
        <v>45405</v>
      </c>
      <c r="B399" s="8" t="s">
        <v>20</v>
      </c>
      <c r="C399" s="9">
        <f t="shared" si="50"/>
        <v>10</v>
      </c>
      <c r="D399" s="9"/>
      <c r="E399" s="10">
        <v>33000</v>
      </c>
      <c r="F399" s="12"/>
      <c r="G399" s="11" t="s">
        <v>23</v>
      </c>
      <c r="H399" s="12">
        <v>4000</v>
      </c>
      <c r="I399" s="13">
        <v>0</v>
      </c>
      <c r="J399" s="11"/>
      <c r="K399" s="14">
        <f t="shared" si="47"/>
        <v>4981.8181818181765</v>
      </c>
      <c r="L399" s="15">
        <v>12.37</v>
      </c>
      <c r="M399" s="15">
        <v>14.5</v>
      </c>
      <c r="N399" s="16">
        <f t="shared" si="48"/>
        <v>49480</v>
      </c>
      <c r="O399" s="17">
        <f t="shared" si="46"/>
        <v>44981.818181818177</v>
      </c>
      <c r="P399" s="18">
        <f t="shared" si="49"/>
        <v>40000</v>
      </c>
      <c r="Q399" s="32"/>
    </row>
    <row r="400" spans="1:17" x14ac:dyDescent="0.3">
      <c r="A400" s="7">
        <v>45405</v>
      </c>
      <c r="B400" s="8" t="s">
        <v>20</v>
      </c>
      <c r="C400" s="9">
        <f t="shared" si="50"/>
        <v>10</v>
      </c>
      <c r="D400" s="9"/>
      <c r="E400" s="21"/>
      <c r="F400" s="12"/>
      <c r="G400" s="11" t="s">
        <v>26</v>
      </c>
      <c r="H400" s="12">
        <v>29000</v>
      </c>
      <c r="I400" s="13"/>
      <c r="J400" s="11"/>
      <c r="K400" s="14">
        <f t="shared" si="47"/>
        <v>32954.545454545412</v>
      </c>
      <c r="L400" s="15">
        <v>12.25</v>
      </c>
      <c r="M400" s="15">
        <v>13.94</v>
      </c>
      <c r="N400" s="16">
        <f t="shared" si="48"/>
        <v>355250</v>
      </c>
      <c r="O400" s="17">
        <f t="shared" si="46"/>
        <v>322954.54545454541</v>
      </c>
      <c r="P400" s="18">
        <f t="shared" si="49"/>
        <v>290000</v>
      </c>
      <c r="Q400" s="32" t="s">
        <v>44</v>
      </c>
    </row>
    <row r="401" spans="1:17" x14ac:dyDescent="0.3">
      <c r="A401" s="7">
        <v>45405</v>
      </c>
      <c r="B401" s="8" t="s">
        <v>19</v>
      </c>
      <c r="C401" s="9">
        <v>9.9939999999999998</v>
      </c>
      <c r="D401" s="9">
        <v>11.411</v>
      </c>
      <c r="E401" s="12"/>
      <c r="F401" s="12">
        <v>4000</v>
      </c>
      <c r="G401" s="11" t="s">
        <v>26</v>
      </c>
      <c r="H401" s="12">
        <v>0</v>
      </c>
      <c r="I401" s="13">
        <v>4000</v>
      </c>
      <c r="J401" s="11"/>
      <c r="K401" s="14">
        <f t="shared" si="47"/>
        <v>5046.9090909090883</v>
      </c>
      <c r="L401" s="15">
        <v>12.25</v>
      </c>
      <c r="M401" s="15">
        <v>13.94</v>
      </c>
      <c r="N401" s="16">
        <f t="shared" si="48"/>
        <v>55760</v>
      </c>
      <c r="O401" s="17">
        <f t="shared" si="46"/>
        <v>50690.909090909088</v>
      </c>
      <c r="P401" s="18">
        <f t="shared" si="49"/>
        <v>45644</v>
      </c>
      <c r="Q401" s="32" t="s">
        <v>44</v>
      </c>
    </row>
    <row r="402" spans="1:17" x14ac:dyDescent="0.3">
      <c r="A402" s="7">
        <v>45406</v>
      </c>
      <c r="B402" s="8" t="s">
        <v>43</v>
      </c>
      <c r="C402" s="9">
        <v>10.115</v>
      </c>
      <c r="D402" s="9">
        <v>11.894</v>
      </c>
      <c r="E402" s="12">
        <v>10000</v>
      </c>
      <c r="F402" s="12">
        <v>7000</v>
      </c>
      <c r="G402" s="11" t="s">
        <v>23</v>
      </c>
      <c r="H402" s="12">
        <v>10000</v>
      </c>
      <c r="I402" s="12">
        <v>7000</v>
      </c>
      <c r="J402" s="11"/>
      <c r="K402" s="14">
        <f t="shared" si="47"/>
        <v>20319.272727272706</v>
      </c>
      <c r="L402" s="15">
        <v>12.37</v>
      </c>
      <c r="M402" s="15">
        <v>14.5</v>
      </c>
      <c r="N402" s="16">
        <f t="shared" si="48"/>
        <v>225200</v>
      </c>
      <c r="O402" s="17">
        <f t="shared" si="46"/>
        <v>204727.27272727271</v>
      </c>
      <c r="P402" s="18">
        <f t="shared" si="49"/>
        <v>184408</v>
      </c>
      <c r="Q402" s="32"/>
    </row>
    <row r="403" spans="1:17" x14ac:dyDescent="0.3">
      <c r="A403" s="7">
        <v>45407</v>
      </c>
      <c r="B403" s="28" t="s">
        <v>39</v>
      </c>
      <c r="C403" s="9">
        <v>10.06</v>
      </c>
      <c r="D403" s="9">
        <v>11.680999999999999</v>
      </c>
      <c r="E403" s="10">
        <v>29000</v>
      </c>
      <c r="F403" s="10">
        <v>4000</v>
      </c>
      <c r="G403" s="11" t="s">
        <v>30</v>
      </c>
      <c r="H403" s="12">
        <v>5000</v>
      </c>
      <c r="I403" s="13"/>
      <c r="J403" s="11"/>
      <c r="K403" s="14">
        <f t="shared" si="47"/>
        <v>1472.7272727272721</v>
      </c>
      <c r="L403" s="15">
        <v>11.39</v>
      </c>
      <c r="M403" s="15"/>
      <c r="N403" s="16">
        <f t="shared" si="48"/>
        <v>56950</v>
      </c>
      <c r="O403" s="17">
        <f>N403/1.1</f>
        <v>51772.727272727272</v>
      </c>
      <c r="P403" s="18">
        <f t="shared" si="49"/>
        <v>50300</v>
      </c>
      <c r="Q403" s="32"/>
    </row>
    <row r="404" spans="1:17" x14ac:dyDescent="0.3">
      <c r="A404" s="7">
        <v>45407</v>
      </c>
      <c r="B404" s="28" t="s">
        <v>39</v>
      </c>
      <c r="C404" s="9">
        <v>10.06</v>
      </c>
      <c r="D404" s="9">
        <v>11.680999999999999</v>
      </c>
      <c r="E404" s="21"/>
      <c r="F404" s="21"/>
      <c r="G404" s="11" t="s">
        <v>27</v>
      </c>
      <c r="H404" s="12">
        <v>24000</v>
      </c>
      <c r="I404" s="13">
        <v>4000</v>
      </c>
      <c r="J404" s="11"/>
      <c r="K404" s="14">
        <f t="shared" si="47"/>
        <v>27217.818181818177</v>
      </c>
      <c r="L404" s="15">
        <v>12.06</v>
      </c>
      <c r="M404" s="15">
        <v>14.37</v>
      </c>
      <c r="N404" s="16">
        <f t="shared" si="48"/>
        <v>346920</v>
      </c>
      <c r="O404" s="17">
        <f t="shared" si="46"/>
        <v>315381.81818181818</v>
      </c>
      <c r="P404" s="18">
        <f t="shared" si="49"/>
        <v>288164</v>
      </c>
      <c r="Q404" s="32"/>
    </row>
    <row r="405" spans="1:17" x14ac:dyDescent="0.3">
      <c r="A405" s="7">
        <v>45409</v>
      </c>
      <c r="B405" s="8" t="s">
        <v>20</v>
      </c>
      <c r="C405" s="9">
        <f t="shared" ref="C405:C406" si="51">11/1.1</f>
        <v>10</v>
      </c>
      <c r="D405" s="9"/>
      <c r="E405" s="10">
        <v>33000</v>
      </c>
      <c r="F405" s="12"/>
      <c r="G405" s="20" t="s">
        <v>21</v>
      </c>
      <c r="H405" s="12">
        <v>10000</v>
      </c>
      <c r="I405" s="13"/>
      <c r="J405" s="11"/>
      <c r="K405" s="29">
        <f t="shared" si="47"/>
        <v>13181.818181818177</v>
      </c>
      <c r="L405" s="15">
        <v>12.45</v>
      </c>
      <c r="M405" s="15"/>
      <c r="N405" s="16">
        <f t="shared" si="48"/>
        <v>124500</v>
      </c>
      <c r="O405" s="17">
        <f t="shared" si="46"/>
        <v>113181.81818181818</v>
      </c>
      <c r="P405" s="18">
        <f t="shared" si="49"/>
        <v>100000</v>
      </c>
      <c r="Q405" s="32"/>
    </row>
    <row r="406" spans="1:17" x14ac:dyDescent="0.3">
      <c r="A406" s="7">
        <v>45409</v>
      </c>
      <c r="B406" s="8" t="s">
        <v>20</v>
      </c>
      <c r="C406" s="9">
        <f t="shared" si="51"/>
        <v>10</v>
      </c>
      <c r="D406" s="9"/>
      <c r="E406" s="21"/>
      <c r="F406" s="12"/>
      <c r="G406" s="11" t="s">
        <v>30</v>
      </c>
      <c r="H406" s="12">
        <v>23000</v>
      </c>
      <c r="I406" s="13"/>
      <c r="J406" s="11"/>
      <c r="K406" s="29">
        <f>O406-P406</f>
        <v>8154.5454545454413</v>
      </c>
      <c r="L406" s="15">
        <v>11.39</v>
      </c>
      <c r="M406" s="15"/>
      <c r="N406" s="16">
        <f t="shared" si="48"/>
        <v>261970</v>
      </c>
      <c r="O406" s="17">
        <f t="shared" si="46"/>
        <v>238154.54545454544</v>
      </c>
      <c r="P406" s="18">
        <f t="shared" si="49"/>
        <v>230000</v>
      </c>
      <c r="Q406" s="32"/>
    </row>
    <row r="407" spans="1:17" x14ac:dyDescent="0.3">
      <c r="A407" s="7">
        <v>45412</v>
      </c>
      <c r="B407" s="28" t="s">
        <v>39</v>
      </c>
      <c r="C407" s="9">
        <v>10.06</v>
      </c>
      <c r="D407" s="9">
        <v>11.680999999999999</v>
      </c>
      <c r="E407" s="10">
        <v>10000</v>
      </c>
      <c r="F407" s="10">
        <v>7000</v>
      </c>
      <c r="G407" s="11" t="s">
        <v>23</v>
      </c>
      <c r="H407" s="12">
        <v>10000</v>
      </c>
      <c r="I407" s="13">
        <v>4000</v>
      </c>
      <c r="J407" s="11"/>
      <c r="K407" s="14">
        <f t="shared" si="47"/>
        <v>17857.818181818177</v>
      </c>
      <c r="L407" s="15">
        <v>12.37</v>
      </c>
      <c r="M407" s="15">
        <v>14.5</v>
      </c>
      <c r="N407" s="16">
        <f t="shared" si="48"/>
        <v>181700</v>
      </c>
      <c r="O407" s="17">
        <f>N407/1.1</f>
        <v>165181.81818181818</v>
      </c>
      <c r="P407" s="18">
        <f t="shared" si="49"/>
        <v>147324</v>
      </c>
      <c r="Q407" s="32"/>
    </row>
    <row r="408" spans="1:17" hidden="1" x14ac:dyDescent="0.3">
      <c r="A408" s="7">
        <v>45412</v>
      </c>
      <c r="B408" s="28" t="s">
        <v>39</v>
      </c>
      <c r="C408" s="9">
        <v>10.06</v>
      </c>
      <c r="D408" s="9">
        <v>11.680999999999999</v>
      </c>
      <c r="E408" s="21"/>
      <c r="F408" s="21"/>
      <c r="G408" s="11" t="s">
        <v>22</v>
      </c>
      <c r="H408" s="12"/>
      <c r="I408" s="13">
        <v>3000</v>
      </c>
      <c r="J408" s="11"/>
      <c r="K408" s="14">
        <f>O408-P408</f>
        <v>-35043</v>
      </c>
      <c r="L408" s="15"/>
      <c r="M408" s="15"/>
      <c r="N408" s="16">
        <f>(H408*L408)+(I408*M408)</f>
        <v>0</v>
      </c>
      <c r="O408" s="17">
        <f>N408/1.1</f>
        <v>0</v>
      </c>
      <c r="P408" s="18">
        <f t="shared" si="49"/>
        <v>35043</v>
      </c>
      <c r="Q408" s="32"/>
    </row>
    <row r="409" spans="1:17" x14ac:dyDescent="0.3">
      <c r="A409" s="7">
        <v>45415</v>
      </c>
      <c r="B409" s="8" t="s">
        <v>20</v>
      </c>
      <c r="C409" s="9">
        <v>9.7090899999999998</v>
      </c>
      <c r="D409" s="9">
        <v>0</v>
      </c>
      <c r="E409" s="10">
        <v>33000</v>
      </c>
      <c r="F409" s="12"/>
      <c r="G409" s="20" t="s">
        <v>23</v>
      </c>
      <c r="H409" s="12">
        <v>16000</v>
      </c>
      <c r="I409" s="13"/>
      <c r="J409" s="11"/>
      <c r="K409" s="14">
        <f>O409-P409</f>
        <v>20945.469090909086</v>
      </c>
      <c r="L409" s="15">
        <v>12.12</v>
      </c>
      <c r="M409" s="15">
        <v>0</v>
      </c>
      <c r="N409" s="16">
        <f t="shared" ref="N409:N472" si="52">(H409*L409)+(I409*M409)</f>
        <v>193920</v>
      </c>
      <c r="O409" s="17">
        <f>N409/1.1</f>
        <v>176290.90909090909</v>
      </c>
      <c r="P409" s="18">
        <f t="shared" si="49"/>
        <v>155345.44</v>
      </c>
    </row>
    <row r="410" spans="1:17" x14ac:dyDescent="0.3">
      <c r="A410" s="7">
        <v>45415</v>
      </c>
      <c r="B410" s="8" t="s">
        <v>20</v>
      </c>
      <c r="C410" s="9">
        <v>9.7090899999999998</v>
      </c>
      <c r="D410" s="9">
        <v>0</v>
      </c>
      <c r="E410" s="19"/>
      <c r="F410" s="12"/>
      <c r="G410" s="20" t="s">
        <v>35</v>
      </c>
      <c r="H410" s="12">
        <v>15000</v>
      </c>
      <c r="I410" s="13"/>
      <c r="J410" s="11"/>
      <c r="K410" s="14">
        <f>O410-P410</f>
        <v>20727.286363636347</v>
      </c>
      <c r="L410" s="15">
        <v>12.2</v>
      </c>
      <c r="M410" s="15">
        <v>0</v>
      </c>
      <c r="N410" s="16">
        <f t="shared" si="52"/>
        <v>183000</v>
      </c>
      <c r="O410" s="17">
        <f t="shared" ref="O410:O473" si="53">N410/1.1</f>
        <v>166363.63636363635</v>
      </c>
      <c r="P410" s="18">
        <f t="shared" si="49"/>
        <v>145636.35</v>
      </c>
    </row>
    <row r="411" spans="1:17" hidden="1" x14ac:dyDescent="0.3">
      <c r="A411" s="7">
        <v>45415</v>
      </c>
      <c r="B411" s="8" t="s">
        <v>20</v>
      </c>
      <c r="C411" s="9">
        <v>9.7090899999999998</v>
      </c>
      <c r="D411" s="9">
        <v>0</v>
      </c>
      <c r="E411" s="21"/>
      <c r="F411" s="12"/>
      <c r="G411" s="20" t="s">
        <v>22</v>
      </c>
      <c r="H411" s="12">
        <v>2000</v>
      </c>
      <c r="I411" s="13"/>
      <c r="J411" s="11"/>
      <c r="K411" s="14">
        <f t="shared" ref="K411:K474" si="54">O411-P411</f>
        <v>-19418.18</v>
      </c>
      <c r="L411" s="15">
        <v>0</v>
      </c>
      <c r="M411" s="15">
        <v>0</v>
      </c>
      <c r="N411" s="16">
        <f t="shared" si="52"/>
        <v>0</v>
      </c>
      <c r="O411" s="17">
        <f t="shared" si="53"/>
        <v>0</v>
      </c>
      <c r="P411" s="18">
        <f t="shared" si="49"/>
        <v>19418.18</v>
      </c>
    </row>
    <row r="412" spans="1:17" x14ac:dyDescent="0.3">
      <c r="A412" s="7">
        <v>45416</v>
      </c>
      <c r="B412" s="8" t="s">
        <v>20</v>
      </c>
      <c r="C412" s="9">
        <v>9.7090899999999998</v>
      </c>
      <c r="D412" s="9">
        <v>0</v>
      </c>
      <c r="E412" s="12">
        <v>32000</v>
      </c>
      <c r="F412" s="12"/>
      <c r="G412" s="20" t="s">
        <v>26</v>
      </c>
      <c r="H412" s="12">
        <v>32000</v>
      </c>
      <c r="I412" s="12"/>
      <c r="J412" s="11"/>
      <c r="K412" s="14">
        <f t="shared" si="54"/>
        <v>50909.119999999937</v>
      </c>
      <c r="L412" s="15">
        <v>12.43</v>
      </c>
      <c r="M412" s="15">
        <v>0</v>
      </c>
      <c r="N412" s="16">
        <f t="shared" si="52"/>
        <v>397760</v>
      </c>
      <c r="O412" s="17">
        <f t="shared" si="53"/>
        <v>361599.99999999994</v>
      </c>
      <c r="P412" s="18">
        <f t="shared" si="49"/>
        <v>310690.88</v>
      </c>
    </row>
    <row r="413" spans="1:17" hidden="1" x14ac:dyDescent="0.3">
      <c r="A413" s="7">
        <v>45418</v>
      </c>
      <c r="B413" s="8" t="s">
        <v>17</v>
      </c>
      <c r="C413" s="9">
        <f>10.8/1.1</f>
        <v>9.8181818181818183</v>
      </c>
      <c r="D413" s="9">
        <v>0</v>
      </c>
      <c r="E413" s="10">
        <v>33000</v>
      </c>
      <c r="F413" s="12"/>
      <c r="G413" s="20" t="s">
        <v>22</v>
      </c>
      <c r="H413" s="12">
        <v>2000</v>
      </c>
      <c r="I413" s="12"/>
      <c r="J413" s="11"/>
      <c r="K413" s="14">
        <f t="shared" si="54"/>
        <v>-19636.363636363636</v>
      </c>
      <c r="L413" s="15">
        <v>0</v>
      </c>
      <c r="M413" s="15"/>
      <c r="N413" s="16">
        <f t="shared" si="52"/>
        <v>0</v>
      </c>
      <c r="O413" s="17">
        <f>N413/1.1</f>
        <v>0</v>
      </c>
      <c r="P413" s="18">
        <f t="shared" si="49"/>
        <v>19636.363636363636</v>
      </c>
    </row>
    <row r="414" spans="1:17" x14ac:dyDescent="0.3">
      <c r="A414" s="7">
        <v>45418</v>
      </c>
      <c r="B414" s="8" t="s">
        <v>17</v>
      </c>
      <c r="C414" s="9">
        <f>10.8/1.1</f>
        <v>9.8181818181818183</v>
      </c>
      <c r="D414" s="22">
        <v>0</v>
      </c>
      <c r="E414" s="21"/>
      <c r="F414" s="12"/>
      <c r="G414" s="20" t="s">
        <v>27</v>
      </c>
      <c r="H414" s="12">
        <v>31000</v>
      </c>
      <c r="I414" s="12"/>
      <c r="J414" s="11"/>
      <c r="K414" s="14">
        <f t="shared" si="54"/>
        <v>28463.636363636353</v>
      </c>
      <c r="L414" s="15">
        <v>11.81</v>
      </c>
      <c r="M414" s="15"/>
      <c r="N414" s="16">
        <f t="shared" si="52"/>
        <v>366110</v>
      </c>
      <c r="O414" s="17">
        <f t="shared" si="53"/>
        <v>332827.27272727271</v>
      </c>
      <c r="P414" s="18">
        <f t="shared" si="49"/>
        <v>304363.63636363635</v>
      </c>
    </row>
    <row r="415" spans="1:17" x14ac:dyDescent="0.3">
      <c r="A415" s="7">
        <v>45418</v>
      </c>
      <c r="B415" s="8" t="s">
        <v>19</v>
      </c>
      <c r="C415" s="9">
        <v>10.06</v>
      </c>
      <c r="D415" s="9">
        <v>11.680999999999999</v>
      </c>
      <c r="E415" s="12"/>
      <c r="F415" s="12">
        <v>2000</v>
      </c>
      <c r="G415" s="20" t="s">
        <v>27</v>
      </c>
      <c r="H415" s="12"/>
      <c r="I415" s="12">
        <v>2000</v>
      </c>
      <c r="J415" s="11"/>
      <c r="K415" s="14">
        <f t="shared" si="54"/>
        <v>2765.2727272727243</v>
      </c>
      <c r="L415" s="15"/>
      <c r="M415" s="15">
        <v>14.37</v>
      </c>
      <c r="N415" s="16">
        <f t="shared" si="52"/>
        <v>28740</v>
      </c>
      <c r="O415" s="17">
        <f t="shared" si="53"/>
        <v>26127.272727272724</v>
      </c>
      <c r="P415" s="18">
        <f t="shared" si="49"/>
        <v>23362</v>
      </c>
    </row>
    <row r="416" spans="1:17" hidden="1" x14ac:dyDescent="0.3">
      <c r="A416" s="7">
        <v>45418</v>
      </c>
      <c r="B416" s="8" t="s">
        <v>20</v>
      </c>
      <c r="C416" s="9">
        <v>9.7090899999999998</v>
      </c>
      <c r="D416" s="22">
        <v>0</v>
      </c>
      <c r="E416" s="10">
        <v>33000</v>
      </c>
      <c r="F416" s="12"/>
      <c r="G416" s="20" t="s">
        <v>22</v>
      </c>
      <c r="H416" s="12">
        <v>6000</v>
      </c>
      <c r="I416" s="12"/>
      <c r="J416" s="11"/>
      <c r="K416" s="14">
        <f t="shared" si="54"/>
        <v>-58254.54</v>
      </c>
      <c r="L416" s="15"/>
      <c r="M416" s="15"/>
      <c r="N416" s="16">
        <f t="shared" si="52"/>
        <v>0</v>
      </c>
      <c r="O416" s="17">
        <f t="shared" si="53"/>
        <v>0</v>
      </c>
      <c r="P416" s="18">
        <f t="shared" si="49"/>
        <v>58254.54</v>
      </c>
    </row>
    <row r="417" spans="1:16" x14ac:dyDescent="0.3">
      <c r="A417" s="7">
        <v>45418</v>
      </c>
      <c r="B417" s="8" t="s">
        <v>20</v>
      </c>
      <c r="C417" s="9">
        <v>9.7090899999999998</v>
      </c>
      <c r="D417" s="22">
        <v>0</v>
      </c>
      <c r="E417" s="21"/>
      <c r="F417" s="12"/>
      <c r="G417" s="20" t="s">
        <v>21</v>
      </c>
      <c r="H417" s="12">
        <v>27000</v>
      </c>
      <c r="I417" s="13"/>
      <c r="J417" s="11"/>
      <c r="K417" s="14">
        <f t="shared" si="54"/>
        <v>37309.115454545419</v>
      </c>
      <c r="L417" s="15">
        <v>12.2</v>
      </c>
      <c r="M417" s="15"/>
      <c r="N417" s="16">
        <f t="shared" si="52"/>
        <v>329400</v>
      </c>
      <c r="O417" s="17">
        <f t="shared" si="53"/>
        <v>299454.54545454541</v>
      </c>
      <c r="P417" s="18">
        <f t="shared" si="49"/>
        <v>262145.43</v>
      </c>
    </row>
    <row r="418" spans="1:16" x14ac:dyDescent="0.3">
      <c r="A418" s="7">
        <v>45418</v>
      </c>
      <c r="B418" s="8" t="s">
        <v>19</v>
      </c>
      <c r="C418" s="9">
        <v>0</v>
      </c>
      <c r="D418" s="22">
        <v>12.038</v>
      </c>
      <c r="E418" s="12"/>
      <c r="F418" s="12">
        <v>2000</v>
      </c>
      <c r="G418" s="20" t="s">
        <v>21</v>
      </c>
      <c r="H418" s="12">
        <v>0</v>
      </c>
      <c r="I418" s="12">
        <v>2000</v>
      </c>
      <c r="J418" s="11"/>
      <c r="K418" s="14">
        <f t="shared" si="54"/>
        <v>2342.1818181818162</v>
      </c>
      <c r="L418" s="15"/>
      <c r="M418" s="15">
        <v>14.53</v>
      </c>
      <c r="N418" s="16">
        <f t="shared" si="52"/>
        <v>29060</v>
      </c>
      <c r="O418" s="17">
        <f t="shared" si="53"/>
        <v>26418.181818181816</v>
      </c>
      <c r="P418" s="18">
        <f t="shared" si="49"/>
        <v>24076</v>
      </c>
    </row>
    <row r="419" spans="1:16" hidden="1" x14ac:dyDescent="0.3">
      <c r="A419" s="7">
        <v>45418</v>
      </c>
      <c r="B419" s="8" t="s">
        <v>43</v>
      </c>
      <c r="C419" s="9">
        <v>0</v>
      </c>
      <c r="D419" s="22">
        <v>12.038</v>
      </c>
      <c r="E419" s="12"/>
      <c r="F419" s="10">
        <v>14000</v>
      </c>
      <c r="G419" s="20" t="s">
        <v>22</v>
      </c>
      <c r="H419" s="12"/>
      <c r="I419" s="13">
        <v>8000</v>
      </c>
      <c r="J419" s="11"/>
      <c r="K419" s="14">
        <f t="shared" si="54"/>
        <v>-96304</v>
      </c>
      <c r="L419" s="15"/>
      <c r="M419" s="15"/>
      <c r="N419" s="16">
        <f t="shared" si="52"/>
        <v>0</v>
      </c>
      <c r="O419" s="17">
        <f t="shared" si="53"/>
        <v>0</v>
      </c>
      <c r="P419" s="18">
        <f t="shared" si="49"/>
        <v>96304</v>
      </c>
    </row>
    <row r="420" spans="1:16" x14ac:dyDescent="0.3">
      <c r="A420" s="7">
        <v>45418</v>
      </c>
      <c r="B420" s="8" t="s">
        <v>43</v>
      </c>
      <c r="C420" s="9">
        <v>0</v>
      </c>
      <c r="D420" s="22">
        <v>12.038</v>
      </c>
      <c r="E420" s="12"/>
      <c r="F420" s="21"/>
      <c r="G420" s="23" t="s">
        <v>23</v>
      </c>
      <c r="H420" s="12"/>
      <c r="I420" s="13">
        <v>6000</v>
      </c>
      <c r="J420" s="11"/>
      <c r="K420" s="14">
        <f t="shared" si="54"/>
        <v>6862.9090909090883</v>
      </c>
      <c r="L420" s="15"/>
      <c r="M420" s="15">
        <v>14.5</v>
      </c>
      <c r="N420" s="16">
        <f t="shared" si="52"/>
        <v>87000</v>
      </c>
      <c r="O420" s="17">
        <f t="shared" si="53"/>
        <v>79090.909090909088</v>
      </c>
      <c r="P420" s="18">
        <f t="shared" si="49"/>
        <v>72228</v>
      </c>
    </row>
    <row r="421" spans="1:16" x14ac:dyDescent="0.3">
      <c r="A421" s="7">
        <v>45420</v>
      </c>
      <c r="B421" s="8" t="s">
        <v>20</v>
      </c>
      <c r="C421" s="9">
        <f>10.58/1.1</f>
        <v>9.6181818181818173</v>
      </c>
      <c r="D421" s="22">
        <v>0</v>
      </c>
      <c r="E421" s="10">
        <v>33000</v>
      </c>
      <c r="F421" s="12"/>
      <c r="G421" s="23" t="s">
        <v>23</v>
      </c>
      <c r="H421" s="12">
        <v>14000</v>
      </c>
      <c r="I421" s="13"/>
      <c r="J421" s="11"/>
      <c r="K421" s="14">
        <f t="shared" si="54"/>
        <v>19600</v>
      </c>
      <c r="L421" s="15">
        <v>12.12</v>
      </c>
      <c r="M421" s="15"/>
      <c r="N421" s="16">
        <f t="shared" si="52"/>
        <v>169680</v>
      </c>
      <c r="O421" s="17">
        <f t="shared" si="53"/>
        <v>154254.54545454544</v>
      </c>
      <c r="P421" s="18">
        <f t="shared" si="49"/>
        <v>134654.54545454544</v>
      </c>
    </row>
    <row r="422" spans="1:16" hidden="1" x14ac:dyDescent="0.3">
      <c r="A422" s="7">
        <v>45420</v>
      </c>
      <c r="B422" s="8" t="s">
        <v>20</v>
      </c>
      <c r="C422" s="9">
        <f t="shared" ref="C422:C423" si="55">10.58/1.1</f>
        <v>9.6181818181818173</v>
      </c>
      <c r="D422" s="22">
        <v>0</v>
      </c>
      <c r="E422" s="19"/>
      <c r="F422" s="12"/>
      <c r="G422" s="20" t="s">
        <v>22</v>
      </c>
      <c r="H422" s="12">
        <v>4000</v>
      </c>
      <c r="I422" s="13"/>
      <c r="J422" s="11"/>
      <c r="K422" s="14">
        <f t="shared" si="54"/>
        <v>-38472.727272727272</v>
      </c>
      <c r="L422" s="15"/>
      <c r="M422" s="15"/>
      <c r="N422" s="16">
        <f t="shared" si="52"/>
        <v>0</v>
      </c>
      <c r="O422" s="17">
        <f t="shared" si="53"/>
        <v>0</v>
      </c>
      <c r="P422" s="18">
        <f t="shared" si="49"/>
        <v>38472.727272727272</v>
      </c>
    </row>
    <row r="423" spans="1:16" x14ac:dyDescent="0.3">
      <c r="A423" s="7">
        <v>45420</v>
      </c>
      <c r="B423" s="8" t="s">
        <v>20</v>
      </c>
      <c r="C423" s="9">
        <f t="shared" si="55"/>
        <v>9.6181818181818173</v>
      </c>
      <c r="D423" s="22">
        <v>0</v>
      </c>
      <c r="E423" s="21"/>
      <c r="F423" s="12"/>
      <c r="G423" s="20" t="s">
        <v>25</v>
      </c>
      <c r="H423" s="12">
        <v>15000</v>
      </c>
      <c r="I423" s="13"/>
      <c r="J423" s="11"/>
      <c r="K423" s="14">
        <f t="shared" si="54"/>
        <v>24136.363636363618</v>
      </c>
      <c r="L423" s="15">
        <v>12.35</v>
      </c>
      <c r="M423" s="15"/>
      <c r="N423" s="16">
        <f t="shared" si="52"/>
        <v>185250</v>
      </c>
      <c r="O423" s="17">
        <f t="shared" si="53"/>
        <v>168409.09090909088</v>
      </c>
      <c r="P423" s="18">
        <f t="shared" si="49"/>
        <v>144272.72727272726</v>
      </c>
    </row>
    <row r="424" spans="1:16" x14ac:dyDescent="0.3">
      <c r="A424" s="7">
        <v>45420</v>
      </c>
      <c r="B424" s="8" t="s">
        <v>19</v>
      </c>
      <c r="C424" s="9">
        <v>0</v>
      </c>
      <c r="D424" s="22">
        <v>12.038</v>
      </c>
      <c r="E424" s="12"/>
      <c r="F424" s="12">
        <v>4000</v>
      </c>
      <c r="G424" s="20" t="s">
        <v>25</v>
      </c>
      <c r="H424" s="12"/>
      <c r="I424" s="13">
        <v>4000</v>
      </c>
      <c r="J424" s="11"/>
      <c r="K424" s="14">
        <f t="shared" si="54"/>
        <v>5120.7272727272648</v>
      </c>
      <c r="L424" s="15"/>
      <c r="M424" s="15">
        <v>14.65</v>
      </c>
      <c r="N424" s="16">
        <f t="shared" si="52"/>
        <v>58600</v>
      </c>
      <c r="O424" s="17">
        <f t="shared" si="53"/>
        <v>53272.727272727265</v>
      </c>
      <c r="P424" s="18">
        <f t="shared" si="49"/>
        <v>48152</v>
      </c>
    </row>
    <row r="425" spans="1:16" hidden="1" x14ac:dyDescent="0.3">
      <c r="A425" s="7">
        <v>45421</v>
      </c>
      <c r="B425" s="8" t="s">
        <v>43</v>
      </c>
      <c r="C425" s="9">
        <v>0</v>
      </c>
      <c r="D425" s="22">
        <v>11.938000000000001</v>
      </c>
      <c r="E425" s="12"/>
      <c r="F425" s="12">
        <v>14000</v>
      </c>
      <c r="G425" s="20" t="s">
        <v>22</v>
      </c>
      <c r="H425" s="12"/>
      <c r="I425" s="13">
        <v>14000</v>
      </c>
      <c r="J425" s="11"/>
      <c r="K425" s="14">
        <f t="shared" si="54"/>
        <v>-167132</v>
      </c>
      <c r="L425" s="15"/>
      <c r="M425" s="15"/>
      <c r="N425" s="16">
        <f t="shared" si="52"/>
        <v>0</v>
      </c>
      <c r="O425" s="17">
        <f t="shared" si="53"/>
        <v>0</v>
      </c>
      <c r="P425" s="18">
        <f t="shared" si="49"/>
        <v>167132</v>
      </c>
    </row>
    <row r="426" spans="1:16" x14ac:dyDescent="0.3">
      <c r="A426" s="7">
        <v>45421</v>
      </c>
      <c r="B426" s="8" t="s">
        <v>19</v>
      </c>
      <c r="C426" s="9">
        <v>0</v>
      </c>
      <c r="D426" s="22">
        <v>11.938000000000001</v>
      </c>
      <c r="E426" s="12"/>
      <c r="F426" s="12">
        <v>3000</v>
      </c>
      <c r="G426" s="11" t="s">
        <v>17</v>
      </c>
      <c r="H426" s="12"/>
      <c r="I426" s="13">
        <v>3000</v>
      </c>
      <c r="J426" s="11"/>
      <c r="K426" s="14">
        <f t="shared" si="54"/>
        <v>322.36363636363239</v>
      </c>
      <c r="L426" s="15"/>
      <c r="M426" s="15">
        <v>13.25</v>
      </c>
      <c r="N426" s="16">
        <f t="shared" si="52"/>
        <v>39750</v>
      </c>
      <c r="O426" s="17">
        <f t="shared" si="53"/>
        <v>36136.363636363632</v>
      </c>
      <c r="P426" s="18">
        <f t="shared" si="49"/>
        <v>35814</v>
      </c>
    </row>
    <row r="427" spans="1:16" x14ac:dyDescent="0.3">
      <c r="A427" s="7">
        <v>45422</v>
      </c>
      <c r="B427" s="8" t="s">
        <v>19</v>
      </c>
      <c r="C427" s="9">
        <f t="shared" ref="C427:C429" si="56">10.58/1.1</f>
        <v>9.6181818181818173</v>
      </c>
      <c r="D427" s="9">
        <v>0</v>
      </c>
      <c r="E427" s="12">
        <v>3000</v>
      </c>
      <c r="F427" s="34"/>
      <c r="G427" s="11" t="s">
        <v>30</v>
      </c>
      <c r="H427" s="12">
        <v>3000</v>
      </c>
      <c r="I427" s="13"/>
      <c r="J427" s="11"/>
      <c r="K427" s="14">
        <f t="shared" si="54"/>
        <v>1500</v>
      </c>
      <c r="L427" s="15">
        <v>11.13</v>
      </c>
      <c r="M427" s="15"/>
      <c r="N427" s="16">
        <f t="shared" si="52"/>
        <v>33390</v>
      </c>
      <c r="O427" s="17">
        <f t="shared" si="53"/>
        <v>30354.545454545452</v>
      </c>
      <c r="P427" s="18">
        <f t="shared" si="49"/>
        <v>28854.545454545452</v>
      </c>
    </row>
    <row r="428" spans="1:16" hidden="1" x14ac:dyDescent="0.3">
      <c r="A428" s="7">
        <v>45422</v>
      </c>
      <c r="B428" s="8" t="s">
        <v>20</v>
      </c>
      <c r="C428" s="9">
        <f t="shared" si="56"/>
        <v>9.6181818181818173</v>
      </c>
      <c r="D428" s="22">
        <v>0</v>
      </c>
      <c r="E428" s="10">
        <v>33000</v>
      </c>
      <c r="F428" s="12"/>
      <c r="G428" s="20" t="s">
        <v>22</v>
      </c>
      <c r="H428" s="12">
        <v>2000</v>
      </c>
      <c r="I428" s="13"/>
      <c r="J428" s="11"/>
      <c r="K428" s="14">
        <f t="shared" si="54"/>
        <v>-19236.363636363636</v>
      </c>
      <c r="L428" s="15"/>
      <c r="M428" s="15"/>
      <c r="N428" s="16">
        <f t="shared" si="52"/>
        <v>0</v>
      </c>
      <c r="O428" s="17">
        <f t="shared" si="53"/>
        <v>0</v>
      </c>
      <c r="P428" s="18">
        <f t="shared" si="49"/>
        <v>19236.363636363636</v>
      </c>
    </row>
    <row r="429" spans="1:16" x14ac:dyDescent="0.3">
      <c r="A429" s="7">
        <v>45422</v>
      </c>
      <c r="B429" s="8" t="s">
        <v>20</v>
      </c>
      <c r="C429" s="9">
        <f t="shared" si="56"/>
        <v>9.6181818181818173</v>
      </c>
      <c r="D429" s="22">
        <v>0</v>
      </c>
      <c r="E429" s="21"/>
      <c r="F429" s="12"/>
      <c r="G429" s="20" t="s">
        <v>31</v>
      </c>
      <c r="H429" s="12">
        <v>31000</v>
      </c>
      <c r="I429" s="12"/>
      <c r="J429" s="11"/>
      <c r="K429" s="14">
        <f t="shared" si="54"/>
        <v>38045.45454545453</v>
      </c>
      <c r="L429" s="15">
        <v>11.93</v>
      </c>
      <c r="M429" s="15"/>
      <c r="N429" s="16">
        <f t="shared" si="52"/>
        <v>369830</v>
      </c>
      <c r="O429" s="17">
        <f t="shared" si="53"/>
        <v>336209.09090909088</v>
      </c>
      <c r="P429" s="18">
        <f t="shared" si="49"/>
        <v>298163.63636363635</v>
      </c>
    </row>
    <row r="430" spans="1:16" x14ac:dyDescent="0.3">
      <c r="A430" s="7">
        <v>45422</v>
      </c>
      <c r="B430" s="8" t="s">
        <v>19</v>
      </c>
      <c r="C430" s="9">
        <v>0</v>
      </c>
      <c r="D430" s="22">
        <v>11.938000000000001</v>
      </c>
      <c r="E430" s="12"/>
      <c r="F430" s="12">
        <v>2000</v>
      </c>
      <c r="G430" s="20" t="s">
        <v>31</v>
      </c>
      <c r="H430" s="12"/>
      <c r="I430" s="12">
        <v>2000</v>
      </c>
      <c r="J430" s="11"/>
      <c r="K430" s="14">
        <f t="shared" si="54"/>
        <v>1942.1818181818162</v>
      </c>
      <c r="L430" s="15"/>
      <c r="M430" s="15">
        <v>14.2</v>
      </c>
      <c r="N430" s="16">
        <f t="shared" si="52"/>
        <v>28400</v>
      </c>
      <c r="O430" s="17">
        <f t="shared" si="53"/>
        <v>25818.181818181816</v>
      </c>
      <c r="P430" s="18">
        <f t="shared" si="49"/>
        <v>23876</v>
      </c>
    </row>
    <row r="431" spans="1:16" x14ac:dyDescent="0.3">
      <c r="A431" s="7">
        <v>45425</v>
      </c>
      <c r="B431" s="8" t="s">
        <v>43</v>
      </c>
      <c r="C431" s="9">
        <v>9.952</v>
      </c>
      <c r="D431" s="9">
        <v>11.938000000000001</v>
      </c>
      <c r="E431" s="10">
        <v>22000</v>
      </c>
      <c r="F431" s="10">
        <v>11000</v>
      </c>
      <c r="G431" s="11" t="s">
        <v>28</v>
      </c>
      <c r="H431" s="12">
        <v>16000</v>
      </c>
      <c r="I431" s="13">
        <v>9000</v>
      </c>
      <c r="J431" s="31">
        <v>295745.45</v>
      </c>
      <c r="K431" s="14">
        <f t="shared" si="54"/>
        <v>29071.45454545453</v>
      </c>
      <c r="L431" s="14">
        <v>12.21</v>
      </c>
      <c r="M431" s="15">
        <v>14.44</v>
      </c>
      <c r="N431" s="16">
        <f>(H431*L431)+(I431*M431)</f>
        <v>325320</v>
      </c>
      <c r="O431" s="17">
        <f t="shared" si="53"/>
        <v>295745.45454545453</v>
      </c>
      <c r="P431" s="18">
        <f t="shared" si="49"/>
        <v>266674</v>
      </c>
    </row>
    <row r="432" spans="1:16" x14ac:dyDescent="0.3">
      <c r="A432" s="7">
        <v>45425</v>
      </c>
      <c r="B432" s="8" t="s">
        <v>43</v>
      </c>
      <c r="C432" s="9">
        <v>9.952</v>
      </c>
      <c r="D432" s="9">
        <v>11.938000000000001</v>
      </c>
      <c r="E432" s="21"/>
      <c r="F432" s="21"/>
      <c r="G432" s="11" t="s">
        <v>29</v>
      </c>
      <c r="H432" s="12">
        <v>6000</v>
      </c>
      <c r="I432" s="13">
        <v>2000</v>
      </c>
      <c r="J432" s="31">
        <v>92727.27</v>
      </c>
      <c r="K432" s="14">
        <f t="shared" si="54"/>
        <v>0</v>
      </c>
      <c r="L432" s="14">
        <v>12.17</v>
      </c>
      <c r="M432" s="15">
        <v>14.49</v>
      </c>
      <c r="N432" s="16">
        <f>(H432*L432)+(I432*M432)</f>
        <v>102000</v>
      </c>
      <c r="O432" s="17"/>
      <c r="P432" s="18"/>
    </row>
    <row r="433" spans="1:16" hidden="1" x14ac:dyDescent="0.3">
      <c r="A433" s="7">
        <v>45425</v>
      </c>
      <c r="B433" s="8" t="s">
        <v>20</v>
      </c>
      <c r="C433" s="9">
        <v>9.6181999999999999</v>
      </c>
      <c r="D433" s="9"/>
      <c r="E433" s="10">
        <v>33000</v>
      </c>
      <c r="F433" s="12"/>
      <c r="G433" s="20" t="s">
        <v>22</v>
      </c>
      <c r="H433" s="12">
        <v>8000</v>
      </c>
      <c r="I433" s="13"/>
      <c r="J433" s="31">
        <v>-38472.730000000003</v>
      </c>
      <c r="K433" s="14">
        <f t="shared" si="54"/>
        <v>-76945.600000000006</v>
      </c>
      <c r="L433" s="14"/>
      <c r="M433" s="15"/>
      <c r="N433" s="16">
        <f t="shared" si="52"/>
        <v>0</v>
      </c>
      <c r="O433" s="17">
        <f t="shared" si="53"/>
        <v>0</v>
      </c>
      <c r="P433" s="18">
        <f t="shared" si="49"/>
        <v>76945.600000000006</v>
      </c>
    </row>
    <row r="434" spans="1:16" x14ac:dyDescent="0.3">
      <c r="A434" s="7">
        <v>45425</v>
      </c>
      <c r="B434" s="8" t="s">
        <v>20</v>
      </c>
      <c r="C434" s="9">
        <f>10.43/1.1</f>
        <v>9.4818181818181806</v>
      </c>
      <c r="D434" s="9"/>
      <c r="E434" s="21"/>
      <c r="F434" s="12"/>
      <c r="G434" s="20" t="s">
        <v>27</v>
      </c>
      <c r="H434" s="12">
        <v>25000</v>
      </c>
      <c r="I434" s="13"/>
      <c r="J434" s="31">
        <v>32427.27</v>
      </c>
      <c r="K434" s="14">
        <f t="shared" si="54"/>
        <v>31363.636363636382</v>
      </c>
      <c r="L434" s="14">
        <v>11.81</v>
      </c>
      <c r="M434" s="15"/>
      <c r="N434" s="16">
        <f t="shared" si="52"/>
        <v>295250</v>
      </c>
      <c r="O434" s="17">
        <f t="shared" si="53"/>
        <v>268409.09090909088</v>
      </c>
      <c r="P434" s="18">
        <f t="shared" si="49"/>
        <v>237045.4545454545</v>
      </c>
    </row>
    <row r="435" spans="1:16" x14ac:dyDescent="0.3">
      <c r="A435" s="7">
        <v>45425</v>
      </c>
      <c r="B435" s="8" t="s">
        <v>19</v>
      </c>
      <c r="C435" s="9"/>
      <c r="D435" s="9">
        <v>11.938000000000001</v>
      </c>
      <c r="E435" s="12"/>
      <c r="F435" s="12">
        <v>4000</v>
      </c>
      <c r="G435" s="11" t="s">
        <v>27</v>
      </c>
      <c r="H435" s="12">
        <v>0</v>
      </c>
      <c r="I435" s="13">
        <v>4000</v>
      </c>
      <c r="J435" s="31">
        <v>4502.55</v>
      </c>
      <c r="K435" s="14">
        <f t="shared" si="54"/>
        <v>4502.5454545454486</v>
      </c>
      <c r="L435" s="14"/>
      <c r="M435" s="15">
        <v>14.37</v>
      </c>
      <c r="N435" s="16">
        <f t="shared" si="52"/>
        <v>57480</v>
      </c>
      <c r="O435" s="17">
        <f t="shared" si="53"/>
        <v>52254.545454545449</v>
      </c>
      <c r="P435" s="18">
        <f t="shared" si="49"/>
        <v>47752</v>
      </c>
    </row>
    <row r="436" spans="1:16" x14ac:dyDescent="0.3">
      <c r="A436" s="7">
        <v>45425</v>
      </c>
      <c r="B436" s="8" t="s">
        <v>19</v>
      </c>
      <c r="C436" s="9"/>
      <c r="D436" s="9">
        <v>11.938000000000001</v>
      </c>
      <c r="E436" s="12"/>
      <c r="F436" s="12">
        <v>3000</v>
      </c>
      <c r="G436" s="11" t="s">
        <v>17</v>
      </c>
      <c r="H436" s="12">
        <v>0</v>
      </c>
      <c r="I436" s="13">
        <v>3000</v>
      </c>
      <c r="J436" s="11"/>
      <c r="K436" s="14">
        <f t="shared" si="54"/>
        <v>322.36363636363239</v>
      </c>
      <c r="L436" s="15"/>
      <c r="M436" s="15">
        <v>13.25</v>
      </c>
      <c r="N436" s="16">
        <f t="shared" si="52"/>
        <v>39750</v>
      </c>
      <c r="O436" s="17">
        <f t="shared" si="53"/>
        <v>36136.363636363632</v>
      </c>
      <c r="P436" s="18">
        <f t="shared" si="49"/>
        <v>35814</v>
      </c>
    </row>
    <row r="437" spans="1:16" hidden="1" x14ac:dyDescent="0.3">
      <c r="A437" s="7">
        <v>45426</v>
      </c>
      <c r="B437" s="8" t="s">
        <v>43</v>
      </c>
      <c r="C437" s="9">
        <v>0</v>
      </c>
      <c r="D437" s="9">
        <v>11.938000000000001</v>
      </c>
      <c r="E437" s="12"/>
      <c r="F437" s="10">
        <v>14000</v>
      </c>
      <c r="G437" s="11" t="s">
        <v>22</v>
      </c>
      <c r="H437" s="12">
        <v>0</v>
      </c>
      <c r="I437" s="13">
        <v>10000</v>
      </c>
      <c r="J437" s="11"/>
      <c r="K437" s="14">
        <f t="shared" si="54"/>
        <v>-119380</v>
      </c>
      <c r="L437" s="15"/>
      <c r="M437" s="15"/>
      <c r="N437" s="16">
        <f t="shared" si="52"/>
        <v>0</v>
      </c>
      <c r="O437" s="17">
        <f t="shared" si="53"/>
        <v>0</v>
      </c>
      <c r="P437" s="18">
        <f t="shared" si="49"/>
        <v>119380</v>
      </c>
    </row>
    <row r="438" spans="1:16" x14ac:dyDescent="0.3">
      <c r="A438" s="7">
        <v>45426</v>
      </c>
      <c r="B438" s="8" t="s">
        <v>43</v>
      </c>
      <c r="C438" s="9">
        <v>0</v>
      </c>
      <c r="D438" s="9">
        <v>11.938000000000001</v>
      </c>
      <c r="E438" s="12"/>
      <c r="F438" s="21"/>
      <c r="G438" s="11" t="s">
        <v>23</v>
      </c>
      <c r="H438" s="12">
        <v>0</v>
      </c>
      <c r="I438" s="13">
        <v>4000</v>
      </c>
      <c r="J438" s="11"/>
      <c r="K438" s="14">
        <f t="shared" si="54"/>
        <v>4975.2727272727207</v>
      </c>
      <c r="L438" s="15"/>
      <c r="M438" s="15">
        <v>14.5</v>
      </c>
      <c r="N438" s="16">
        <f t="shared" si="52"/>
        <v>58000</v>
      </c>
      <c r="O438" s="17">
        <f t="shared" si="53"/>
        <v>52727.272727272721</v>
      </c>
      <c r="P438" s="18">
        <f t="shared" si="49"/>
        <v>47752</v>
      </c>
    </row>
    <row r="439" spans="1:16" x14ac:dyDescent="0.3">
      <c r="A439" s="7">
        <v>45426</v>
      </c>
      <c r="B439" s="8" t="s">
        <v>19</v>
      </c>
      <c r="C439" s="9">
        <f>10.43/1.1</f>
        <v>9.4818181818181806</v>
      </c>
      <c r="D439" s="9">
        <v>0</v>
      </c>
      <c r="E439" s="12">
        <v>10000</v>
      </c>
      <c r="F439" s="12">
        <v>0</v>
      </c>
      <c r="G439" s="11" t="s">
        <v>23</v>
      </c>
      <c r="H439" s="12">
        <v>10000</v>
      </c>
      <c r="I439" s="13"/>
      <c r="J439" s="11"/>
      <c r="K439" s="14">
        <f t="shared" si="54"/>
        <v>15363.636363636353</v>
      </c>
      <c r="L439" s="15">
        <v>12.12</v>
      </c>
      <c r="M439" s="15"/>
      <c r="N439" s="16">
        <f t="shared" si="52"/>
        <v>121199.99999999999</v>
      </c>
      <c r="O439" s="17">
        <f t="shared" si="53"/>
        <v>110181.81818181816</v>
      </c>
      <c r="P439" s="18">
        <f t="shared" si="49"/>
        <v>94818.181818181809</v>
      </c>
    </row>
    <row r="440" spans="1:16" x14ac:dyDescent="0.3">
      <c r="A440" s="7">
        <v>45427</v>
      </c>
      <c r="B440" s="8" t="s">
        <v>20</v>
      </c>
      <c r="C440" s="9">
        <f>10.43/1.1</f>
        <v>9.4818181818181806</v>
      </c>
      <c r="D440" s="9">
        <v>0</v>
      </c>
      <c r="E440" s="10">
        <v>66000</v>
      </c>
      <c r="F440" s="12"/>
      <c r="G440" s="11" t="s">
        <v>30</v>
      </c>
      <c r="H440" s="12">
        <v>15000</v>
      </c>
      <c r="I440" s="13"/>
      <c r="J440" s="11"/>
      <c r="K440" s="14">
        <f t="shared" si="54"/>
        <v>9545.4545454545587</v>
      </c>
      <c r="L440" s="15">
        <v>11.13</v>
      </c>
      <c r="M440" s="15"/>
      <c r="N440" s="16">
        <f t="shared" si="52"/>
        <v>166950</v>
      </c>
      <c r="O440" s="17">
        <f t="shared" si="53"/>
        <v>151772.72727272726</v>
      </c>
      <c r="P440" s="18">
        <f t="shared" si="49"/>
        <v>142227.27272727271</v>
      </c>
    </row>
    <row r="441" spans="1:16" hidden="1" x14ac:dyDescent="0.3">
      <c r="A441" s="7">
        <v>45427</v>
      </c>
      <c r="B441" s="8" t="s">
        <v>20</v>
      </c>
      <c r="C441" s="9">
        <f>10.43/1.1</f>
        <v>9.4818181818181806</v>
      </c>
      <c r="D441" s="9">
        <v>0</v>
      </c>
      <c r="E441" s="19"/>
      <c r="F441" s="12"/>
      <c r="G441" s="11" t="s">
        <v>22</v>
      </c>
      <c r="H441" s="12">
        <v>18000</v>
      </c>
      <c r="I441" s="13"/>
      <c r="J441" s="11"/>
      <c r="K441" s="14">
        <f t="shared" si="54"/>
        <v>-170672.72727272726</v>
      </c>
      <c r="L441" s="15"/>
      <c r="M441" s="15"/>
      <c r="N441" s="16">
        <f t="shared" si="52"/>
        <v>0</v>
      </c>
      <c r="O441" s="17">
        <f t="shared" si="53"/>
        <v>0</v>
      </c>
      <c r="P441" s="18">
        <f t="shared" si="49"/>
        <v>170672.72727272726</v>
      </c>
    </row>
    <row r="442" spans="1:16" x14ac:dyDescent="0.3">
      <c r="A442" s="7">
        <v>45427</v>
      </c>
      <c r="B442" s="8" t="s">
        <v>20</v>
      </c>
      <c r="C442" s="9">
        <f>10.43/1.1</f>
        <v>9.4818181818181806</v>
      </c>
      <c r="D442" s="9">
        <v>0</v>
      </c>
      <c r="E442" s="21"/>
      <c r="F442" s="12"/>
      <c r="G442" s="11" t="s">
        <v>17</v>
      </c>
      <c r="H442" s="12">
        <v>33000</v>
      </c>
      <c r="I442" s="13"/>
      <c r="J442" s="11"/>
      <c r="K442" s="14">
        <f t="shared" si="54"/>
        <v>2100.0000000000582</v>
      </c>
      <c r="L442" s="15">
        <v>10.5</v>
      </c>
      <c r="M442" s="15"/>
      <c r="N442" s="16">
        <f t="shared" si="52"/>
        <v>346500</v>
      </c>
      <c r="O442" s="17">
        <f t="shared" si="53"/>
        <v>315000</v>
      </c>
      <c r="P442" s="18">
        <f t="shared" si="49"/>
        <v>312899.99999999994</v>
      </c>
    </row>
    <row r="443" spans="1:16" x14ac:dyDescent="0.3">
      <c r="A443" s="7">
        <v>45427</v>
      </c>
      <c r="B443" s="8" t="s">
        <v>43</v>
      </c>
      <c r="C443" s="9">
        <v>9.952</v>
      </c>
      <c r="D443" s="9">
        <v>11.938000000000001</v>
      </c>
      <c r="E443" s="12">
        <v>28000</v>
      </c>
      <c r="F443" s="12">
        <v>5000</v>
      </c>
      <c r="G443" s="11" t="s">
        <v>17</v>
      </c>
      <c r="H443" s="12">
        <v>28000</v>
      </c>
      <c r="I443" s="13">
        <v>5000</v>
      </c>
      <c r="J443" s="11"/>
      <c r="K443" s="14">
        <f t="shared" si="54"/>
        <v>1626.7272727272357</v>
      </c>
      <c r="L443" s="15">
        <v>10.99</v>
      </c>
      <c r="M443" s="15">
        <v>13.25</v>
      </c>
      <c r="N443" s="16">
        <f t="shared" si="52"/>
        <v>373970</v>
      </c>
      <c r="O443" s="17">
        <f t="shared" si="53"/>
        <v>339972.72727272724</v>
      </c>
      <c r="P443" s="18">
        <f t="shared" si="49"/>
        <v>338346</v>
      </c>
    </row>
    <row r="444" spans="1:16" x14ac:dyDescent="0.3">
      <c r="A444" s="7">
        <v>45428</v>
      </c>
      <c r="B444" s="8" t="s">
        <v>19</v>
      </c>
      <c r="C444" s="9">
        <f>10.43/1.1</f>
        <v>9.4818181818181806</v>
      </c>
      <c r="D444" s="22"/>
      <c r="E444" s="12">
        <v>3000</v>
      </c>
      <c r="F444" s="12"/>
      <c r="G444" s="11" t="s">
        <v>30</v>
      </c>
      <c r="H444" s="12">
        <v>3000</v>
      </c>
      <c r="I444" s="13"/>
      <c r="J444" s="11"/>
      <c r="K444" s="14">
        <f t="shared" si="54"/>
        <v>1909.0909090909117</v>
      </c>
      <c r="L444" s="15">
        <v>11.13</v>
      </c>
      <c r="M444" s="15"/>
      <c r="N444" s="16">
        <f t="shared" si="52"/>
        <v>33390</v>
      </c>
      <c r="O444" s="17">
        <f t="shared" si="53"/>
        <v>30354.545454545452</v>
      </c>
      <c r="P444" s="18">
        <f t="shared" si="49"/>
        <v>28445.45454545454</v>
      </c>
    </row>
    <row r="445" spans="1:16" x14ac:dyDescent="0.3">
      <c r="A445" s="7">
        <v>45428</v>
      </c>
      <c r="B445" s="8" t="s">
        <v>20</v>
      </c>
      <c r="C445" s="9">
        <f>10.43/1.1</f>
        <v>9.4818181818181806</v>
      </c>
      <c r="D445" s="22">
        <v>0</v>
      </c>
      <c r="E445" s="12">
        <v>33000</v>
      </c>
      <c r="F445" s="12">
        <v>0</v>
      </c>
      <c r="G445" s="11" t="s">
        <v>26</v>
      </c>
      <c r="H445" s="12">
        <v>33000</v>
      </c>
      <c r="I445" s="13"/>
      <c r="J445" s="11"/>
      <c r="K445" s="14">
        <f t="shared" si="54"/>
        <v>56700</v>
      </c>
      <c r="L445" s="15">
        <v>12.32</v>
      </c>
      <c r="M445" s="15"/>
      <c r="N445" s="16">
        <f t="shared" si="52"/>
        <v>406560</v>
      </c>
      <c r="O445" s="17">
        <f t="shared" si="53"/>
        <v>369599.99999999994</v>
      </c>
      <c r="P445" s="18">
        <f t="shared" si="49"/>
        <v>312899.99999999994</v>
      </c>
    </row>
    <row r="446" spans="1:16" x14ac:dyDescent="0.3">
      <c r="A446" s="7">
        <v>45430</v>
      </c>
      <c r="B446" s="8" t="s">
        <v>19</v>
      </c>
      <c r="C446" s="9">
        <f>10.43/1.1</f>
        <v>9.4818181818181806</v>
      </c>
      <c r="D446" s="9">
        <v>11.938000000000001</v>
      </c>
      <c r="E446" s="24">
        <v>13000</v>
      </c>
      <c r="F446" s="24">
        <v>4000</v>
      </c>
      <c r="G446" s="11" t="s">
        <v>23</v>
      </c>
      <c r="H446" s="12">
        <v>13000</v>
      </c>
      <c r="I446" s="13">
        <v>4000</v>
      </c>
      <c r="J446" s="11"/>
      <c r="K446" s="14">
        <f t="shared" si="54"/>
        <v>18766.181818181823</v>
      </c>
      <c r="L446" s="15">
        <v>11.72</v>
      </c>
      <c r="M446" s="15">
        <v>14.1</v>
      </c>
      <c r="N446" s="16">
        <f t="shared" si="52"/>
        <v>208760</v>
      </c>
      <c r="O446" s="17">
        <f t="shared" si="53"/>
        <v>189781.81818181818</v>
      </c>
      <c r="P446" s="18">
        <f t="shared" si="49"/>
        <v>171015.63636363635</v>
      </c>
    </row>
    <row r="447" spans="1:16" x14ac:dyDescent="0.3">
      <c r="A447" s="7">
        <v>45432</v>
      </c>
      <c r="B447" s="8" t="s">
        <v>43</v>
      </c>
      <c r="C447" s="25">
        <v>9.7680000000000007</v>
      </c>
      <c r="D447" s="9">
        <v>11.971</v>
      </c>
      <c r="E447" s="12">
        <v>29000</v>
      </c>
      <c r="F447" s="12">
        <v>4000</v>
      </c>
      <c r="G447" s="11" t="s">
        <v>27</v>
      </c>
      <c r="H447" s="12">
        <v>29000</v>
      </c>
      <c r="I447" s="13">
        <v>4000</v>
      </c>
      <c r="J447" s="11"/>
      <c r="K447" s="14">
        <f t="shared" si="54"/>
        <v>22825.818181818177</v>
      </c>
      <c r="L447" s="15">
        <v>11.5</v>
      </c>
      <c r="M447" s="15">
        <v>13.97</v>
      </c>
      <c r="N447" s="16">
        <f t="shared" si="52"/>
        <v>389380</v>
      </c>
      <c r="O447" s="17">
        <f t="shared" si="53"/>
        <v>353981.81818181818</v>
      </c>
      <c r="P447" s="18">
        <f t="shared" si="49"/>
        <v>331156</v>
      </c>
    </row>
    <row r="448" spans="1:16" x14ac:dyDescent="0.3">
      <c r="A448" s="7">
        <v>45433</v>
      </c>
      <c r="B448" s="8" t="s">
        <v>39</v>
      </c>
      <c r="C448" s="9">
        <v>9.5449999999999999</v>
      </c>
      <c r="D448" s="9">
        <v>11.641</v>
      </c>
      <c r="E448" s="10">
        <v>23000</v>
      </c>
      <c r="F448" s="10">
        <v>24000</v>
      </c>
      <c r="G448" s="20" t="s">
        <v>18</v>
      </c>
      <c r="H448" s="12"/>
      <c r="I448" s="13">
        <v>14000</v>
      </c>
      <c r="J448" s="11"/>
      <c r="K448" s="14">
        <f t="shared" si="54"/>
        <v>2480.5454545454413</v>
      </c>
      <c r="L448" s="15">
        <v>0</v>
      </c>
      <c r="M448" s="15">
        <v>13</v>
      </c>
      <c r="N448" s="16">
        <f t="shared" si="52"/>
        <v>182000</v>
      </c>
      <c r="O448" s="17">
        <f t="shared" si="53"/>
        <v>165454.54545454544</v>
      </c>
      <c r="P448" s="18">
        <f t="shared" si="49"/>
        <v>162974</v>
      </c>
    </row>
    <row r="449" spans="1:16" x14ac:dyDescent="0.3">
      <c r="A449" s="7">
        <v>45434</v>
      </c>
      <c r="B449" s="8" t="s">
        <v>39</v>
      </c>
      <c r="C449" s="9">
        <v>9.5449999999999999</v>
      </c>
      <c r="D449" s="9">
        <v>11.641</v>
      </c>
      <c r="E449" s="19"/>
      <c r="F449" s="19"/>
      <c r="G449" s="20" t="s">
        <v>24</v>
      </c>
      <c r="H449" s="12">
        <v>16000</v>
      </c>
      <c r="I449" s="13"/>
      <c r="J449" s="11"/>
      <c r="K449" s="14">
        <f t="shared" si="54"/>
        <v>23716.363636363618</v>
      </c>
      <c r="L449" s="15">
        <v>12.13</v>
      </c>
      <c r="M449" s="15">
        <v>0</v>
      </c>
      <c r="N449" s="16">
        <f t="shared" si="52"/>
        <v>194080</v>
      </c>
      <c r="O449" s="17">
        <f t="shared" si="53"/>
        <v>176436.36363636362</v>
      </c>
      <c r="P449" s="18">
        <f t="shared" si="49"/>
        <v>152720</v>
      </c>
    </row>
    <row r="450" spans="1:16" hidden="1" x14ac:dyDescent="0.3">
      <c r="A450" s="7">
        <v>45434</v>
      </c>
      <c r="B450" s="8" t="s">
        <v>39</v>
      </c>
      <c r="C450" s="9">
        <v>9.5449999999999999</v>
      </c>
      <c r="D450" s="9">
        <v>11.641</v>
      </c>
      <c r="E450" s="19"/>
      <c r="F450" s="19"/>
      <c r="G450" s="11" t="s">
        <v>22</v>
      </c>
      <c r="H450" s="12">
        <v>5000</v>
      </c>
      <c r="I450" s="13">
        <v>5000</v>
      </c>
      <c r="J450" s="11"/>
      <c r="K450" s="14"/>
      <c r="L450" s="15"/>
      <c r="M450" s="15"/>
      <c r="N450" s="16">
        <f t="shared" si="52"/>
        <v>0</v>
      </c>
      <c r="O450" s="17"/>
      <c r="P450" s="18"/>
    </row>
    <row r="451" spans="1:16" x14ac:dyDescent="0.3">
      <c r="A451" s="7">
        <v>45434</v>
      </c>
      <c r="B451" s="8" t="s">
        <v>39</v>
      </c>
      <c r="C451" s="9">
        <v>9.5449999999999999</v>
      </c>
      <c r="D451" s="9">
        <v>11.641</v>
      </c>
      <c r="E451" s="21"/>
      <c r="F451" s="21"/>
      <c r="G451" s="20" t="s">
        <v>25</v>
      </c>
      <c r="H451" s="12">
        <v>2000</v>
      </c>
      <c r="I451" s="13">
        <v>5000</v>
      </c>
      <c r="J451" s="11"/>
      <c r="K451" s="14">
        <f t="shared" si="54"/>
        <v>9205</v>
      </c>
      <c r="L451" s="15">
        <v>11.95</v>
      </c>
      <c r="M451" s="15">
        <v>14.25</v>
      </c>
      <c r="N451" s="16">
        <f t="shared" si="52"/>
        <v>95150</v>
      </c>
      <c r="O451" s="17">
        <f t="shared" si="53"/>
        <v>86500</v>
      </c>
      <c r="P451" s="18">
        <f t="shared" si="49"/>
        <v>77295</v>
      </c>
    </row>
    <row r="452" spans="1:16" hidden="1" x14ac:dyDescent="0.3">
      <c r="A452" s="7">
        <v>45433</v>
      </c>
      <c r="B452" s="8" t="s">
        <v>39</v>
      </c>
      <c r="C452" s="9">
        <v>9.5449999999999999</v>
      </c>
      <c r="D452" s="9">
        <v>11.641</v>
      </c>
      <c r="E452" s="10">
        <v>32000</v>
      </c>
      <c r="F452" s="12">
        <v>0</v>
      </c>
      <c r="G452" s="11" t="s">
        <v>22</v>
      </c>
      <c r="H452" s="12">
        <v>2000</v>
      </c>
      <c r="I452" s="13"/>
      <c r="J452" s="11"/>
      <c r="K452" s="14">
        <f t="shared" si="54"/>
        <v>-19090</v>
      </c>
      <c r="L452" s="15"/>
      <c r="M452" s="15"/>
      <c r="N452" s="16">
        <f t="shared" si="52"/>
        <v>0</v>
      </c>
      <c r="O452" s="17">
        <f t="shared" si="53"/>
        <v>0</v>
      </c>
      <c r="P452" s="18">
        <f t="shared" si="49"/>
        <v>19090</v>
      </c>
    </row>
    <row r="453" spans="1:16" x14ac:dyDescent="0.3">
      <c r="A453" s="7">
        <v>45433</v>
      </c>
      <c r="B453" s="8" t="s">
        <v>39</v>
      </c>
      <c r="C453" s="9">
        <v>9.5449999999999999</v>
      </c>
      <c r="D453" s="9">
        <v>11.641</v>
      </c>
      <c r="E453" s="21"/>
      <c r="F453" s="12"/>
      <c r="G453" s="11" t="s">
        <v>21</v>
      </c>
      <c r="H453" s="12">
        <v>30000</v>
      </c>
      <c r="I453" s="13"/>
      <c r="J453" s="11"/>
      <c r="K453" s="14">
        <f t="shared" si="54"/>
        <v>35468.181818181765</v>
      </c>
      <c r="L453" s="15">
        <v>11.8</v>
      </c>
      <c r="M453" s="15"/>
      <c r="N453" s="16">
        <f t="shared" si="52"/>
        <v>354000</v>
      </c>
      <c r="O453" s="17">
        <f t="shared" si="53"/>
        <v>321818.18181818177</v>
      </c>
      <c r="P453" s="18">
        <f t="shared" si="49"/>
        <v>286350</v>
      </c>
    </row>
    <row r="454" spans="1:16" x14ac:dyDescent="0.3">
      <c r="A454" s="7">
        <v>45433</v>
      </c>
      <c r="B454" s="8" t="s">
        <v>19</v>
      </c>
      <c r="C454" s="25">
        <v>0</v>
      </c>
      <c r="D454" s="9">
        <v>11.938000000000001</v>
      </c>
      <c r="E454" s="12"/>
      <c r="F454" s="12">
        <v>2000</v>
      </c>
      <c r="G454" s="11" t="s">
        <v>21</v>
      </c>
      <c r="H454" s="12"/>
      <c r="I454" s="13">
        <v>2000</v>
      </c>
      <c r="J454" s="11"/>
      <c r="K454" s="14">
        <f t="shared" si="54"/>
        <v>1814.9090909090883</v>
      </c>
      <c r="L454" s="15"/>
      <c r="M454" s="15">
        <v>14.13</v>
      </c>
      <c r="N454" s="16">
        <f t="shared" si="52"/>
        <v>28260</v>
      </c>
      <c r="O454" s="17">
        <f t="shared" si="53"/>
        <v>25690.909090909088</v>
      </c>
      <c r="P454" s="18">
        <f t="shared" ref="P454:P517" si="57">(C454*H454)+(I454*D454)</f>
        <v>23876</v>
      </c>
    </row>
    <row r="455" spans="1:16" x14ac:dyDescent="0.3">
      <c r="A455" s="7">
        <v>45434</v>
      </c>
      <c r="B455" s="8" t="s">
        <v>39</v>
      </c>
      <c r="C455" s="9">
        <v>9.5449999999999999</v>
      </c>
      <c r="D455" s="9">
        <v>11.641</v>
      </c>
      <c r="E455" s="10">
        <v>40000</v>
      </c>
      <c r="F455" s="10">
        <v>24000</v>
      </c>
      <c r="G455" s="20" t="s">
        <v>18</v>
      </c>
      <c r="H455" s="12"/>
      <c r="I455" s="13">
        <v>14000</v>
      </c>
      <c r="J455" s="11"/>
      <c r="K455" s="14">
        <f t="shared" si="54"/>
        <v>2480.5454545454413</v>
      </c>
      <c r="L455" s="15"/>
      <c r="M455" s="15">
        <v>13</v>
      </c>
      <c r="N455" s="16">
        <f t="shared" si="52"/>
        <v>182000</v>
      </c>
      <c r="O455" s="17">
        <f t="shared" si="53"/>
        <v>165454.54545454544</v>
      </c>
      <c r="P455" s="18">
        <f t="shared" si="57"/>
        <v>162974</v>
      </c>
    </row>
    <row r="456" spans="1:16" x14ac:dyDescent="0.3">
      <c r="A456" s="7">
        <v>45434</v>
      </c>
      <c r="B456" s="8" t="s">
        <v>39</v>
      </c>
      <c r="C456" s="9">
        <v>9.5449999999999999</v>
      </c>
      <c r="D456" s="9">
        <v>11.641</v>
      </c>
      <c r="E456" s="19"/>
      <c r="F456" s="19"/>
      <c r="G456" s="11" t="s">
        <v>17</v>
      </c>
      <c r="H456" s="12">
        <v>17000</v>
      </c>
      <c r="I456" s="13"/>
      <c r="J456" s="11"/>
      <c r="K456" s="14">
        <f t="shared" si="54"/>
        <v>780.45454545452958</v>
      </c>
      <c r="L456" s="15">
        <v>10.55</v>
      </c>
      <c r="M456" s="15"/>
      <c r="N456" s="16">
        <f t="shared" si="52"/>
        <v>179350</v>
      </c>
      <c r="O456" s="17">
        <f t="shared" si="53"/>
        <v>163045.45454545453</v>
      </c>
      <c r="P456" s="18">
        <f t="shared" si="57"/>
        <v>162265</v>
      </c>
    </row>
    <row r="457" spans="1:16" x14ac:dyDescent="0.3">
      <c r="A457" s="7">
        <v>45435</v>
      </c>
      <c r="B457" s="8" t="s">
        <v>39</v>
      </c>
      <c r="C457" s="9">
        <v>9.5449999999999999</v>
      </c>
      <c r="D457" s="9">
        <v>11.641</v>
      </c>
      <c r="E457" s="21"/>
      <c r="F457" s="21"/>
      <c r="G457" s="11" t="s">
        <v>26</v>
      </c>
      <c r="H457" s="12">
        <v>23000</v>
      </c>
      <c r="I457" s="13">
        <v>10000</v>
      </c>
      <c r="J457" s="11"/>
      <c r="K457" s="14">
        <f t="shared" si="54"/>
        <v>44954.999999999942</v>
      </c>
      <c r="L457" s="15">
        <v>12.03</v>
      </c>
      <c r="M457" s="15">
        <v>14.23</v>
      </c>
      <c r="N457" s="16">
        <f t="shared" si="52"/>
        <v>418990</v>
      </c>
      <c r="O457" s="17">
        <f t="shared" si="53"/>
        <v>380899.99999999994</v>
      </c>
      <c r="P457" s="18">
        <f t="shared" si="57"/>
        <v>335945</v>
      </c>
    </row>
    <row r="458" spans="1:16" x14ac:dyDescent="0.3">
      <c r="A458" s="7">
        <v>45435</v>
      </c>
      <c r="B458" s="8" t="s">
        <v>19</v>
      </c>
      <c r="C458" s="9">
        <v>9.5449999999999999</v>
      </c>
      <c r="D458" s="9">
        <v>11.641</v>
      </c>
      <c r="E458" s="12">
        <v>3000</v>
      </c>
      <c r="F458" s="12">
        <v>4000</v>
      </c>
      <c r="G458" s="11" t="s">
        <v>17</v>
      </c>
      <c r="H458" s="12">
        <v>3000</v>
      </c>
      <c r="I458" s="13">
        <v>4000</v>
      </c>
      <c r="J458" s="11"/>
      <c r="K458" s="14">
        <f t="shared" si="54"/>
        <v>846.45454545454413</v>
      </c>
      <c r="L458" s="15">
        <v>10.55</v>
      </c>
      <c r="M458" s="15">
        <v>13</v>
      </c>
      <c r="N458" s="16">
        <f t="shared" si="52"/>
        <v>83650</v>
      </c>
      <c r="O458" s="17">
        <f t="shared" si="53"/>
        <v>76045.454545454544</v>
      </c>
      <c r="P458" s="18">
        <f t="shared" si="57"/>
        <v>75199</v>
      </c>
    </row>
    <row r="459" spans="1:16" x14ac:dyDescent="0.3">
      <c r="A459" s="7">
        <v>45436</v>
      </c>
      <c r="B459" s="8" t="s">
        <v>39</v>
      </c>
      <c r="C459" s="9">
        <v>9.5449999999999999</v>
      </c>
      <c r="D459" s="9">
        <v>11.641</v>
      </c>
      <c r="E459" s="10">
        <v>10000</v>
      </c>
      <c r="F459" s="10">
        <v>16000</v>
      </c>
      <c r="G459" s="20" t="s">
        <v>18</v>
      </c>
      <c r="H459" s="12"/>
      <c r="I459" s="13">
        <v>12000</v>
      </c>
      <c r="J459" s="11"/>
      <c r="K459" s="14">
        <f t="shared" si="54"/>
        <v>2126.1818181817944</v>
      </c>
      <c r="L459" s="15"/>
      <c r="M459" s="15">
        <v>13</v>
      </c>
      <c r="N459" s="16">
        <f t="shared" si="52"/>
        <v>156000</v>
      </c>
      <c r="O459" s="17">
        <f t="shared" si="53"/>
        <v>141818.18181818179</v>
      </c>
      <c r="P459" s="18">
        <f t="shared" si="57"/>
        <v>139692</v>
      </c>
    </row>
    <row r="460" spans="1:16" x14ac:dyDescent="0.3">
      <c r="A460" s="7">
        <v>45436</v>
      </c>
      <c r="B460" s="8" t="s">
        <v>39</v>
      </c>
      <c r="C460" s="9">
        <v>9.5449999999999999</v>
      </c>
      <c r="D460" s="9">
        <v>11.641</v>
      </c>
      <c r="E460" s="19"/>
      <c r="F460" s="19"/>
      <c r="G460" s="11" t="s">
        <v>23</v>
      </c>
      <c r="H460" s="12">
        <v>10000</v>
      </c>
      <c r="I460" s="13">
        <v>4000</v>
      </c>
      <c r="J460" s="11"/>
      <c r="K460" s="14">
        <f>O460-P460</f>
        <v>15804.181818181794</v>
      </c>
      <c r="L460" s="15">
        <v>11.72</v>
      </c>
      <c r="M460" s="15">
        <v>14.1</v>
      </c>
      <c r="N460" s="16">
        <f>(H460*L460+(I460*M460))</f>
        <v>173600</v>
      </c>
      <c r="O460" s="17">
        <f t="shared" si="53"/>
        <v>157818.18181818179</v>
      </c>
      <c r="P460" s="18">
        <f t="shared" si="57"/>
        <v>142014</v>
      </c>
    </row>
    <row r="461" spans="1:16" hidden="1" x14ac:dyDescent="0.3">
      <c r="A461" s="7">
        <v>45439</v>
      </c>
      <c r="B461" s="8" t="s">
        <v>39</v>
      </c>
      <c r="C461" s="9">
        <v>9.4090000000000007</v>
      </c>
      <c r="D461" s="9">
        <v>11.641</v>
      </c>
      <c r="E461" s="10">
        <v>52000</v>
      </c>
      <c r="F461" s="10">
        <v>30000</v>
      </c>
      <c r="G461" s="11" t="s">
        <v>22</v>
      </c>
      <c r="H461" s="12">
        <v>12000</v>
      </c>
      <c r="I461" s="13">
        <v>10000</v>
      </c>
      <c r="J461" s="11"/>
      <c r="K461" s="14">
        <f t="shared" si="54"/>
        <v>-229318</v>
      </c>
      <c r="L461" s="15"/>
      <c r="M461" s="15"/>
      <c r="N461" s="16">
        <f t="shared" si="52"/>
        <v>0</v>
      </c>
      <c r="O461" s="17">
        <f t="shared" si="53"/>
        <v>0</v>
      </c>
      <c r="P461" s="18">
        <f t="shared" si="57"/>
        <v>229318</v>
      </c>
    </row>
    <row r="462" spans="1:16" x14ac:dyDescent="0.3">
      <c r="A462" s="7">
        <v>45439</v>
      </c>
      <c r="B462" s="8" t="s">
        <v>39</v>
      </c>
      <c r="C462" s="9">
        <v>9.4090000000000007</v>
      </c>
      <c r="D462" s="9">
        <v>11.641</v>
      </c>
      <c r="E462" s="19"/>
      <c r="F462" s="19"/>
      <c r="G462" s="11" t="s">
        <v>30</v>
      </c>
      <c r="H462" s="12">
        <v>10000</v>
      </c>
      <c r="I462" s="13"/>
      <c r="J462" s="11"/>
      <c r="K462" s="14">
        <f t="shared" si="54"/>
        <v>7091.8181818181911</v>
      </c>
      <c r="L462" s="15">
        <v>11.13</v>
      </c>
      <c r="M462" s="15"/>
      <c r="N462" s="16">
        <f t="shared" si="52"/>
        <v>111300.00000000001</v>
      </c>
      <c r="O462" s="17">
        <f t="shared" si="53"/>
        <v>101181.81818181819</v>
      </c>
      <c r="P462" s="18">
        <f t="shared" si="57"/>
        <v>94090</v>
      </c>
    </row>
    <row r="463" spans="1:16" x14ac:dyDescent="0.3">
      <c r="A463" s="7">
        <v>45439</v>
      </c>
      <c r="B463" s="8" t="s">
        <v>39</v>
      </c>
      <c r="C463" s="9">
        <v>9.4090000000000007</v>
      </c>
      <c r="D463" s="9">
        <v>11.641</v>
      </c>
      <c r="E463" s="19"/>
      <c r="F463" s="19"/>
      <c r="G463" s="11" t="s">
        <v>17</v>
      </c>
      <c r="H463" s="12">
        <v>14000</v>
      </c>
      <c r="I463" s="13">
        <v>3000</v>
      </c>
      <c r="J463" s="11"/>
      <c r="K463" s="14">
        <f t="shared" si="54"/>
        <v>1041.9090909090883</v>
      </c>
      <c r="L463" s="15">
        <v>10.39</v>
      </c>
      <c r="M463" s="15">
        <v>13</v>
      </c>
      <c r="N463" s="16">
        <f t="shared" si="52"/>
        <v>184460</v>
      </c>
      <c r="O463" s="17">
        <f t="shared" si="53"/>
        <v>167690.90909090909</v>
      </c>
      <c r="P463" s="18">
        <f t="shared" si="57"/>
        <v>166649</v>
      </c>
    </row>
    <row r="464" spans="1:16" x14ac:dyDescent="0.3">
      <c r="A464" s="7">
        <v>45439</v>
      </c>
      <c r="B464" s="8" t="s">
        <v>39</v>
      </c>
      <c r="C464" s="9">
        <v>9.4090000000000007</v>
      </c>
      <c r="D464" s="9">
        <v>11.641</v>
      </c>
      <c r="E464" s="21"/>
      <c r="F464" s="21"/>
      <c r="G464" s="11" t="s">
        <v>17</v>
      </c>
      <c r="H464" s="12">
        <v>16000</v>
      </c>
      <c r="I464" s="13">
        <v>17000</v>
      </c>
      <c r="J464" s="11"/>
      <c r="K464" s="14">
        <f t="shared" si="54"/>
        <v>3595.3636363635887</v>
      </c>
      <c r="L464" s="15">
        <v>10.39</v>
      </c>
      <c r="M464" s="15">
        <v>13</v>
      </c>
      <c r="N464" s="16">
        <f t="shared" si="52"/>
        <v>387240</v>
      </c>
      <c r="O464" s="17">
        <f t="shared" si="53"/>
        <v>352036.36363636359</v>
      </c>
      <c r="P464" s="18">
        <f t="shared" si="57"/>
        <v>348441</v>
      </c>
    </row>
    <row r="465" spans="1:16" x14ac:dyDescent="0.3">
      <c r="A465" s="7">
        <v>45440</v>
      </c>
      <c r="B465" s="8" t="s">
        <v>39</v>
      </c>
      <c r="C465" s="9">
        <v>9.4090000000000007</v>
      </c>
      <c r="D465" s="9">
        <v>11.641</v>
      </c>
      <c r="E465" s="10">
        <v>76000</v>
      </c>
      <c r="F465" s="10">
        <v>6000</v>
      </c>
      <c r="G465" s="11" t="s">
        <v>31</v>
      </c>
      <c r="H465" s="12">
        <v>32000</v>
      </c>
      <c r="I465" s="13"/>
      <c r="J465" s="11"/>
      <c r="K465" s="14">
        <f t="shared" si="54"/>
        <v>34330.181818181765</v>
      </c>
      <c r="L465" s="15">
        <v>11.53</v>
      </c>
      <c r="M465" s="15"/>
      <c r="N465" s="16">
        <f t="shared" si="52"/>
        <v>368960</v>
      </c>
      <c r="O465" s="17">
        <f t="shared" si="53"/>
        <v>335418.18181818177</v>
      </c>
      <c r="P465" s="18">
        <f t="shared" si="57"/>
        <v>301088</v>
      </c>
    </row>
    <row r="466" spans="1:16" x14ac:dyDescent="0.3">
      <c r="A466" s="7">
        <v>45440</v>
      </c>
      <c r="B466" s="8" t="s">
        <v>39</v>
      </c>
      <c r="C466" s="9">
        <v>9.4090000000000007</v>
      </c>
      <c r="D466" s="9">
        <v>11.641</v>
      </c>
      <c r="E466" s="19"/>
      <c r="F466" s="19"/>
      <c r="G466" s="11" t="s">
        <v>17</v>
      </c>
      <c r="H466" s="12">
        <v>27000</v>
      </c>
      <c r="I466" s="13">
        <v>6000</v>
      </c>
      <c r="J466" s="11"/>
      <c r="K466" s="14">
        <f t="shared" si="54"/>
        <v>2047.3636363635887</v>
      </c>
      <c r="L466" s="15">
        <v>10.39</v>
      </c>
      <c r="M466" s="15">
        <v>13</v>
      </c>
      <c r="N466" s="16">
        <f t="shared" si="52"/>
        <v>358530</v>
      </c>
      <c r="O466" s="17">
        <f>N466/1.1</f>
        <v>325936.36363636359</v>
      </c>
      <c r="P466" s="18">
        <f t="shared" si="57"/>
        <v>323889</v>
      </c>
    </row>
    <row r="467" spans="1:16" x14ac:dyDescent="0.3">
      <c r="A467" s="7">
        <v>45440</v>
      </c>
      <c r="B467" s="8" t="s">
        <v>39</v>
      </c>
      <c r="C467" s="9">
        <v>9.4090000000000007</v>
      </c>
      <c r="D467" s="9">
        <v>11.641</v>
      </c>
      <c r="E467" s="21"/>
      <c r="F467" s="21"/>
      <c r="G467" s="11" t="s">
        <v>17</v>
      </c>
      <c r="H467" s="12">
        <v>17000</v>
      </c>
      <c r="I467" s="13"/>
      <c r="J467" s="11"/>
      <c r="K467" s="14">
        <f t="shared" si="54"/>
        <v>619.72727272726479</v>
      </c>
      <c r="L467" s="15">
        <v>10.39</v>
      </c>
      <c r="M467" s="15">
        <v>13</v>
      </c>
      <c r="N467" s="16">
        <f t="shared" si="52"/>
        <v>176630</v>
      </c>
      <c r="O467" s="17">
        <f t="shared" si="53"/>
        <v>160572.72727272726</v>
      </c>
      <c r="P467" s="18">
        <f t="shared" si="57"/>
        <v>159953</v>
      </c>
    </row>
    <row r="468" spans="1:16" x14ac:dyDescent="0.3">
      <c r="A468" s="7">
        <v>45441</v>
      </c>
      <c r="B468" s="8" t="s">
        <v>39</v>
      </c>
      <c r="C468" s="9">
        <v>9.4090000000000007</v>
      </c>
      <c r="D468" s="9">
        <v>11.641</v>
      </c>
      <c r="E468" s="10">
        <v>59000</v>
      </c>
      <c r="F468" s="10">
        <v>18000</v>
      </c>
      <c r="G468" s="11" t="s">
        <v>27</v>
      </c>
      <c r="H468" s="12">
        <v>30000</v>
      </c>
      <c r="I468" s="13">
        <v>2000</v>
      </c>
      <c r="J468" s="11"/>
      <c r="K468" s="14">
        <f t="shared" si="54"/>
        <v>33484.363636363589</v>
      </c>
      <c r="L468" s="15">
        <v>11.5</v>
      </c>
      <c r="M468" s="15">
        <v>13.97</v>
      </c>
      <c r="N468" s="16">
        <f t="shared" si="52"/>
        <v>372940</v>
      </c>
      <c r="O468" s="17">
        <f t="shared" si="53"/>
        <v>339036.36363636359</v>
      </c>
      <c r="P468" s="18">
        <f t="shared" si="57"/>
        <v>305552</v>
      </c>
    </row>
    <row r="469" spans="1:16" x14ac:dyDescent="0.3">
      <c r="A469" s="7">
        <v>45441</v>
      </c>
      <c r="B469" s="8" t="s">
        <v>39</v>
      </c>
      <c r="C469" s="9">
        <v>9.4090000000000007</v>
      </c>
      <c r="D469" s="9">
        <v>11.641</v>
      </c>
      <c r="E469" s="19"/>
      <c r="F469" s="19"/>
      <c r="G469" s="20" t="s">
        <v>18</v>
      </c>
      <c r="H469" s="12">
        <v>0</v>
      </c>
      <c r="I469" s="13">
        <v>12000</v>
      </c>
      <c r="J469" s="11"/>
      <c r="K469" s="14">
        <f t="shared" si="54"/>
        <v>2126.1818181817944</v>
      </c>
      <c r="L469" s="15"/>
      <c r="M469" s="15">
        <v>13</v>
      </c>
      <c r="N469" s="16">
        <f t="shared" si="52"/>
        <v>156000</v>
      </c>
      <c r="O469" s="17">
        <f t="shared" si="53"/>
        <v>141818.18181818179</v>
      </c>
      <c r="P469" s="18">
        <f t="shared" si="57"/>
        <v>139692</v>
      </c>
    </row>
    <row r="470" spans="1:16" x14ac:dyDescent="0.3">
      <c r="A470" s="7">
        <v>45441</v>
      </c>
      <c r="B470" s="8" t="s">
        <v>39</v>
      </c>
      <c r="C470" s="9">
        <v>9.4090000000000007</v>
      </c>
      <c r="D470" s="9">
        <v>11.641</v>
      </c>
      <c r="E470" s="21"/>
      <c r="F470" s="21"/>
      <c r="G470" s="11" t="s">
        <v>17</v>
      </c>
      <c r="H470" s="12">
        <v>29000</v>
      </c>
      <c r="I470" s="13">
        <v>4000</v>
      </c>
      <c r="J470" s="11"/>
      <c r="K470" s="29">
        <f>O470-P470</f>
        <v>1765.9090909090592</v>
      </c>
      <c r="L470" s="15">
        <v>10.39</v>
      </c>
      <c r="M470" s="15">
        <v>13</v>
      </c>
      <c r="N470" s="16">
        <f t="shared" si="52"/>
        <v>353310</v>
      </c>
      <c r="O470" s="17">
        <f t="shared" si="53"/>
        <v>321190.90909090906</v>
      </c>
      <c r="P470" s="18">
        <f t="shared" si="57"/>
        <v>319425</v>
      </c>
    </row>
    <row r="471" spans="1:16" x14ac:dyDescent="0.3">
      <c r="A471" s="7">
        <v>45442</v>
      </c>
      <c r="B471" s="8" t="s">
        <v>39</v>
      </c>
      <c r="C471" s="9">
        <v>9.4090000000000007</v>
      </c>
      <c r="D471" s="9">
        <v>11.641</v>
      </c>
      <c r="E471" s="10">
        <v>65000</v>
      </c>
      <c r="F471" s="10"/>
      <c r="G471" s="20" t="s">
        <v>17</v>
      </c>
      <c r="H471" s="12">
        <v>33000</v>
      </c>
      <c r="I471" s="13"/>
      <c r="J471" s="11"/>
      <c r="K471" s="14">
        <f t="shared" si="54"/>
        <v>1203</v>
      </c>
      <c r="L471" s="15">
        <v>10.39</v>
      </c>
      <c r="M471" s="15">
        <v>13</v>
      </c>
      <c r="N471" s="16">
        <f t="shared" si="52"/>
        <v>342870</v>
      </c>
      <c r="O471" s="17">
        <f t="shared" si="53"/>
        <v>311700</v>
      </c>
      <c r="P471" s="18">
        <f t="shared" si="57"/>
        <v>310497</v>
      </c>
    </row>
    <row r="472" spans="1:16" x14ac:dyDescent="0.3">
      <c r="A472" s="7">
        <v>45442</v>
      </c>
      <c r="B472" s="8" t="s">
        <v>39</v>
      </c>
      <c r="C472" s="9">
        <v>9.4090000000000007</v>
      </c>
      <c r="D472" s="9">
        <v>11.641</v>
      </c>
      <c r="E472" s="19"/>
      <c r="F472" s="19"/>
      <c r="G472" s="11" t="s">
        <v>23</v>
      </c>
      <c r="H472" s="13">
        <v>8000</v>
      </c>
      <c r="I472" s="13"/>
      <c r="J472" s="11"/>
      <c r="K472" s="14">
        <f t="shared" si="54"/>
        <v>9964.3636363636324</v>
      </c>
      <c r="L472" s="15">
        <v>11.72</v>
      </c>
      <c r="M472" s="15"/>
      <c r="N472" s="16">
        <f t="shared" si="52"/>
        <v>93760</v>
      </c>
      <c r="O472" s="17">
        <f t="shared" si="53"/>
        <v>85236.363636363632</v>
      </c>
      <c r="P472" s="18">
        <f t="shared" si="57"/>
        <v>75272</v>
      </c>
    </row>
    <row r="473" spans="1:16" hidden="1" x14ac:dyDescent="0.3">
      <c r="A473" s="7">
        <v>45442</v>
      </c>
      <c r="B473" s="8" t="s">
        <v>39</v>
      </c>
      <c r="C473" s="9">
        <v>9.4090000000000007</v>
      </c>
      <c r="D473" s="9">
        <v>11.641</v>
      </c>
      <c r="E473" s="19"/>
      <c r="F473" s="19"/>
      <c r="G473" s="11" t="s">
        <v>22</v>
      </c>
      <c r="H473" s="13">
        <v>4000</v>
      </c>
      <c r="I473" s="13"/>
      <c r="J473" s="11"/>
      <c r="K473" s="14">
        <f t="shared" si="54"/>
        <v>-37636</v>
      </c>
      <c r="L473" s="15"/>
      <c r="M473" s="15"/>
      <c r="N473" s="16">
        <f t="shared" ref="N473:N535" si="58">(H473*L473)+(I473*M473)</f>
        <v>0</v>
      </c>
      <c r="O473" s="17">
        <f t="shared" si="53"/>
        <v>0</v>
      </c>
      <c r="P473" s="18">
        <f t="shared" si="57"/>
        <v>37636</v>
      </c>
    </row>
    <row r="474" spans="1:16" x14ac:dyDescent="0.3">
      <c r="A474" s="7">
        <v>45442</v>
      </c>
      <c r="B474" s="8" t="s">
        <v>39</v>
      </c>
      <c r="C474" s="9">
        <v>9.4090000000000007</v>
      </c>
      <c r="D474" s="9">
        <v>11.641</v>
      </c>
      <c r="E474" s="19"/>
      <c r="F474" s="19"/>
      <c r="G474" s="11" t="s">
        <v>21</v>
      </c>
      <c r="H474" s="13">
        <v>20000</v>
      </c>
      <c r="I474" s="13"/>
      <c r="J474" s="11"/>
      <c r="K474" s="14">
        <f t="shared" si="54"/>
        <v>26365.45454545453</v>
      </c>
      <c r="L474" s="15">
        <v>11.8</v>
      </c>
      <c r="M474" s="15"/>
      <c r="N474" s="16">
        <f t="shared" si="58"/>
        <v>236000</v>
      </c>
      <c r="O474" s="17">
        <f t="shared" ref="O474:O481" si="59">N474/1.1</f>
        <v>214545.45454545453</v>
      </c>
      <c r="P474" s="18">
        <f t="shared" si="57"/>
        <v>188180</v>
      </c>
    </row>
    <row r="475" spans="1:16" x14ac:dyDescent="0.3">
      <c r="A475" s="7">
        <v>45442</v>
      </c>
      <c r="B475" s="8" t="s">
        <v>19</v>
      </c>
      <c r="C475" s="9">
        <v>0</v>
      </c>
      <c r="D475" s="9">
        <v>11.641</v>
      </c>
      <c r="E475" s="13"/>
      <c r="F475" s="13">
        <v>4000</v>
      </c>
      <c r="G475" s="11" t="s">
        <v>21</v>
      </c>
      <c r="H475" s="13"/>
      <c r="I475" s="13">
        <v>4000</v>
      </c>
      <c r="J475" s="11"/>
      <c r="K475" s="14">
        <f t="shared" ref="K475:K481" si="60">O475-P475</f>
        <v>4817.8181818181765</v>
      </c>
      <c r="L475" s="15"/>
      <c r="M475" s="15">
        <v>14.13</v>
      </c>
      <c r="N475" s="16">
        <f t="shared" si="58"/>
        <v>56520</v>
      </c>
      <c r="O475" s="17">
        <f t="shared" si="59"/>
        <v>51381.818181818177</v>
      </c>
      <c r="P475" s="18">
        <f t="shared" si="57"/>
        <v>46564</v>
      </c>
    </row>
    <row r="476" spans="1:16" x14ac:dyDescent="0.3">
      <c r="A476" s="7">
        <v>45443</v>
      </c>
      <c r="B476" s="28" t="s">
        <v>43</v>
      </c>
      <c r="C476" s="25">
        <v>0</v>
      </c>
      <c r="D476" s="9">
        <v>11.971</v>
      </c>
      <c r="E476" s="12"/>
      <c r="F476" s="12">
        <v>14000</v>
      </c>
      <c r="G476" s="11" t="s">
        <v>34</v>
      </c>
      <c r="H476" s="12"/>
      <c r="I476" s="13">
        <v>14000</v>
      </c>
      <c r="J476" s="11"/>
      <c r="K476" s="14">
        <f t="shared" si="60"/>
        <v>-2139.4545454545587</v>
      </c>
      <c r="L476" s="15"/>
      <c r="M476" s="15">
        <v>13</v>
      </c>
      <c r="N476" s="16">
        <f t="shared" si="58"/>
        <v>182000</v>
      </c>
      <c r="O476" s="17">
        <f t="shared" si="59"/>
        <v>165454.54545454544</v>
      </c>
      <c r="P476" s="18">
        <f t="shared" si="57"/>
        <v>167594</v>
      </c>
    </row>
    <row r="477" spans="1:16" hidden="1" x14ac:dyDescent="0.3">
      <c r="A477" s="7">
        <v>45443</v>
      </c>
      <c r="B477" s="8" t="s">
        <v>39</v>
      </c>
      <c r="C477" s="9">
        <v>9.4090000000000007</v>
      </c>
      <c r="D477" s="9">
        <v>11.641</v>
      </c>
      <c r="E477" s="10">
        <v>17000</v>
      </c>
      <c r="F477" s="12"/>
      <c r="G477" s="20" t="s">
        <v>22</v>
      </c>
      <c r="H477" s="12">
        <v>6000</v>
      </c>
      <c r="I477" s="13"/>
      <c r="J477" s="11"/>
      <c r="K477" s="14">
        <f t="shared" si="60"/>
        <v>-56454.000000000007</v>
      </c>
      <c r="L477" s="15">
        <v>0</v>
      </c>
      <c r="M477" s="15">
        <v>0</v>
      </c>
      <c r="N477" s="16">
        <f t="shared" si="58"/>
        <v>0</v>
      </c>
      <c r="O477" s="17">
        <f t="shared" si="59"/>
        <v>0</v>
      </c>
      <c r="P477" s="18">
        <f t="shared" si="57"/>
        <v>56454.000000000007</v>
      </c>
    </row>
    <row r="478" spans="1:16" x14ac:dyDescent="0.3">
      <c r="A478" s="7">
        <v>45443</v>
      </c>
      <c r="B478" s="8" t="s">
        <v>39</v>
      </c>
      <c r="C478" s="9">
        <v>9.4090000000000007</v>
      </c>
      <c r="D478" s="9">
        <v>11.641</v>
      </c>
      <c r="E478" s="21"/>
      <c r="F478" s="12"/>
      <c r="G478" s="20" t="s">
        <v>35</v>
      </c>
      <c r="H478" s="12">
        <v>11000</v>
      </c>
      <c r="I478" s="13"/>
      <c r="J478" s="11"/>
      <c r="K478" s="29">
        <f t="shared" si="60"/>
        <v>14500.999999999985</v>
      </c>
      <c r="L478" s="15">
        <v>11.8</v>
      </c>
      <c r="M478" s="15">
        <v>0</v>
      </c>
      <c r="N478" s="16">
        <f t="shared" si="58"/>
        <v>129800.00000000001</v>
      </c>
      <c r="O478" s="17">
        <f t="shared" si="59"/>
        <v>118000</v>
      </c>
      <c r="P478" s="18">
        <f t="shared" si="57"/>
        <v>103499.00000000001</v>
      </c>
    </row>
    <row r="479" spans="1:16" x14ac:dyDescent="0.3">
      <c r="A479" s="7">
        <v>45443</v>
      </c>
      <c r="B479" s="28" t="s">
        <v>19</v>
      </c>
      <c r="C479" s="9">
        <v>0</v>
      </c>
      <c r="D479" s="9">
        <v>11.641</v>
      </c>
      <c r="E479" s="12"/>
      <c r="F479" s="10">
        <v>6000</v>
      </c>
      <c r="G479" s="20" t="s">
        <v>35</v>
      </c>
      <c r="H479" s="12"/>
      <c r="I479" s="13">
        <v>3000</v>
      </c>
      <c r="J479" s="11"/>
      <c r="K479" s="29">
        <f t="shared" si="60"/>
        <v>3395.1818181818162</v>
      </c>
      <c r="L479" s="15"/>
      <c r="M479" s="15">
        <v>14.05</v>
      </c>
      <c r="N479" s="16">
        <f t="shared" si="58"/>
        <v>42150</v>
      </c>
      <c r="O479" s="17">
        <f t="shared" si="59"/>
        <v>38318.181818181816</v>
      </c>
      <c r="P479" s="18">
        <f t="shared" si="57"/>
        <v>34923</v>
      </c>
    </row>
    <row r="480" spans="1:16" x14ac:dyDescent="0.3">
      <c r="A480" s="7">
        <v>45443</v>
      </c>
      <c r="B480" s="28" t="s">
        <v>19</v>
      </c>
      <c r="C480" s="9">
        <v>0</v>
      </c>
      <c r="D480" s="9">
        <v>11.641</v>
      </c>
      <c r="E480" s="12"/>
      <c r="F480" s="21"/>
      <c r="G480" s="11" t="s">
        <v>23</v>
      </c>
      <c r="H480" s="12"/>
      <c r="I480" s="13">
        <v>3000</v>
      </c>
      <c r="J480" s="11"/>
      <c r="K480" s="29">
        <f t="shared" si="60"/>
        <v>3531.5454545454486</v>
      </c>
      <c r="L480" s="15"/>
      <c r="M480" s="15">
        <v>14.1</v>
      </c>
      <c r="N480" s="16">
        <f t="shared" si="58"/>
        <v>42300</v>
      </c>
      <c r="O480" s="17">
        <f t="shared" si="59"/>
        <v>38454.545454545449</v>
      </c>
      <c r="P480" s="18">
        <f t="shared" si="57"/>
        <v>34923</v>
      </c>
    </row>
    <row r="481" spans="1:16" x14ac:dyDescent="0.3">
      <c r="A481" s="7">
        <v>45443</v>
      </c>
      <c r="B481" s="28" t="s">
        <v>19</v>
      </c>
      <c r="C481" s="9">
        <v>9.4090000000000007</v>
      </c>
      <c r="D481" s="9">
        <v>0</v>
      </c>
      <c r="E481" s="12">
        <v>2000</v>
      </c>
      <c r="F481" s="12"/>
      <c r="G481" s="11" t="s">
        <v>30</v>
      </c>
      <c r="H481" s="12">
        <v>2000</v>
      </c>
      <c r="I481" s="13"/>
      <c r="J481" s="11"/>
      <c r="K481" s="29">
        <f t="shared" si="60"/>
        <v>1418.363636363636</v>
      </c>
      <c r="L481" s="15">
        <v>11.13</v>
      </c>
      <c r="M481" s="15"/>
      <c r="N481" s="16">
        <f t="shared" si="58"/>
        <v>22260</v>
      </c>
      <c r="O481" s="17">
        <f t="shared" si="59"/>
        <v>20236.363636363636</v>
      </c>
      <c r="P481" s="18">
        <f t="shared" si="57"/>
        <v>18818</v>
      </c>
    </row>
    <row r="482" spans="1:16" x14ac:dyDescent="0.3">
      <c r="A482" s="7">
        <v>45444</v>
      </c>
      <c r="B482" s="8" t="s">
        <v>45</v>
      </c>
      <c r="C482" s="9">
        <f>10.45/1.1</f>
        <v>9.4999999999999982</v>
      </c>
      <c r="D482" s="9"/>
      <c r="E482" s="10">
        <v>33000</v>
      </c>
      <c r="F482" s="12"/>
      <c r="G482" s="20" t="s">
        <v>23</v>
      </c>
      <c r="H482" s="12">
        <v>18000</v>
      </c>
      <c r="I482" s="13"/>
      <c r="J482" s="11"/>
      <c r="K482" s="14">
        <f>O482-P482</f>
        <v>20781.818181818206</v>
      </c>
      <c r="L482" s="15">
        <v>11.72</v>
      </c>
      <c r="M482" s="15"/>
      <c r="N482" s="16">
        <f t="shared" si="58"/>
        <v>210960</v>
      </c>
      <c r="O482" s="17">
        <f>N482/1.1</f>
        <v>191781.81818181818</v>
      </c>
      <c r="P482" s="18">
        <f t="shared" si="57"/>
        <v>170999.99999999997</v>
      </c>
    </row>
    <row r="483" spans="1:16" hidden="1" x14ac:dyDescent="0.3">
      <c r="A483" s="7">
        <v>45444</v>
      </c>
      <c r="B483" s="8" t="s">
        <v>45</v>
      </c>
      <c r="C483" s="9">
        <f>10.45/1.1</f>
        <v>9.4999999999999982</v>
      </c>
      <c r="D483" s="9"/>
      <c r="E483" s="19"/>
      <c r="F483" s="12"/>
      <c r="G483" s="20" t="s">
        <v>22</v>
      </c>
      <c r="H483" s="12">
        <v>15000</v>
      </c>
      <c r="I483" s="13"/>
      <c r="J483" s="11"/>
      <c r="K483" s="14">
        <f>O483-P483</f>
        <v>-142499.99999999997</v>
      </c>
      <c r="L483" s="15">
        <v>0</v>
      </c>
      <c r="M483" s="15"/>
      <c r="N483" s="16">
        <f t="shared" si="58"/>
        <v>0</v>
      </c>
      <c r="O483" s="17">
        <f t="shared" ref="O483:O550" si="61">N483/1.1</f>
        <v>0</v>
      </c>
      <c r="P483" s="18">
        <f t="shared" si="57"/>
        <v>142499.99999999997</v>
      </c>
    </row>
    <row r="484" spans="1:16" hidden="1" x14ac:dyDescent="0.3">
      <c r="A484" s="7">
        <v>45446</v>
      </c>
      <c r="B484" s="8" t="s">
        <v>45</v>
      </c>
      <c r="C484" s="9">
        <v>0</v>
      </c>
      <c r="D484" s="9">
        <f>13.15/1.1</f>
        <v>11.954545454545453</v>
      </c>
      <c r="E484" s="13">
        <v>0</v>
      </c>
      <c r="F484" s="10">
        <v>17000</v>
      </c>
      <c r="G484" s="20" t="s">
        <v>22</v>
      </c>
      <c r="H484" s="12">
        <v>0</v>
      </c>
      <c r="I484" s="13">
        <v>7000</v>
      </c>
      <c r="J484" s="11"/>
      <c r="K484" s="14">
        <f t="shared" ref="K484:K551" si="62">O484-P484</f>
        <v>-83681.818181818177</v>
      </c>
      <c r="L484" s="15"/>
      <c r="M484" s="15"/>
      <c r="N484" s="16">
        <f t="shared" si="58"/>
        <v>0</v>
      </c>
      <c r="O484" s="17">
        <f t="shared" si="61"/>
        <v>0</v>
      </c>
      <c r="P484" s="18">
        <f t="shared" si="57"/>
        <v>83681.818181818177</v>
      </c>
    </row>
    <row r="485" spans="1:16" x14ac:dyDescent="0.3">
      <c r="A485" s="7">
        <v>45446</v>
      </c>
      <c r="B485" s="8" t="s">
        <v>45</v>
      </c>
      <c r="C485" s="9">
        <v>0</v>
      </c>
      <c r="D485" s="9">
        <f>13.15/1.1</f>
        <v>11.954545454545453</v>
      </c>
      <c r="E485" s="12">
        <v>0</v>
      </c>
      <c r="F485" s="21"/>
      <c r="G485" s="11" t="s">
        <v>28</v>
      </c>
      <c r="H485" s="12">
        <v>0</v>
      </c>
      <c r="I485" s="12">
        <v>10000</v>
      </c>
      <c r="J485" s="11"/>
      <c r="K485" s="14">
        <f t="shared" si="62"/>
        <v>8090.9090909091028</v>
      </c>
      <c r="L485" s="15"/>
      <c r="M485" s="15">
        <v>14.04</v>
      </c>
      <c r="N485" s="16">
        <f t="shared" si="58"/>
        <v>140400</v>
      </c>
      <c r="O485" s="17">
        <f t="shared" si="61"/>
        <v>127636.36363636363</v>
      </c>
      <c r="P485" s="18">
        <f t="shared" si="57"/>
        <v>119545.45454545453</v>
      </c>
    </row>
    <row r="486" spans="1:16" x14ac:dyDescent="0.3">
      <c r="A486" s="7">
        <v>45446</v>
      </c>
      <c r="B486" s="8" t="s">
        <v>39</v>
      </c>
      <c r="C486" s="9">
        <v>9.4090000000000007</v>
      </c>
      <c r="D486" s="9">
        <v>11.641</v>
      </c>
      <c r="E486" s="10">
        <v>32000</v>
      </c>
      <c r="F486" s="12"/>
      <c r="G486" s="11" t="s">
        <v>28</v>
      </c>
      <c r="H486" s="12">
        <v>10000</v>
      </c>
      <c r="I486" s="12">
        <v>0</v>
      </c>
      <c r="J486" s="11"/>
      <c r="K486" s="14">
        <f t="shared" si="62"/>
        <v>13273.636363636353</v>
      </c>
      <c r="L486" s="15">
        <v>11.81</v>
      </c>
      <c r="M486" s="15"/>
      <c r="N486" s="16">
        <f t="shared" si="58"/>
        <v>118100</v>
      </c>
      <c r="O486" s="17">
        <f>N486/1.1</f>
        <v>107363.63636363635</v>
      </c>
      <c r="P486" s="18">
        <f t="shared" si="57"/>
        <v>94090</v>
      </c>
    </row>
    <row r="487" spans="1:16" x14ac:dyDescent="0.3">
      <c r="A487" s="7">
        <v>45446</v>
      </c>
      <c r="B487" s="8" t="s">
        <v>39</v>
      </c>
      <c r="C487" s="9">
        <v>9.4090000000000007</v>
      </c>
      <c r="D487" s="9">
        <v>11.641</v>
      </c>
      <c r="E487" s="19"/>
      <c r="F487" s="12"/>
      <c r="G487" s="11" t="s">
        <v>36</v>
      </c>
      <c r="H487" s="12">
        <v>12000</v>
      </c>
      <c r="I487" s="12">
        <v>0</v>
      </c>
      <c r="J487" s="11"/>
      <c r="K487" s="14">
        <f t="shared" si="62"/>
        <v>15055.636363636339</v>
      </c>
      <c r="L487" s="15">
        <v>11.73</v>
      </c>
      <c r="M487" s="15"/>
      <c r="N487" s="16">
        <f t="shared" si="58"/>
        <v>140760</v>
      </c>
      <c r="O487" s="17">
        <f t="shared" si="61"/>
        <v>127963.63636363635</v>
      </c>
      <c r="P487" s="18">
        <f t="shared" si="57"/>
        <v>112908.00000000001</v>
      </c>
    </row>
    <row r="488" spans="1:16" hidden="1" x14ac:dyDescent="0.3">
      <c r="A488" s="7">
        <v>45446</v>
      </c>
      <c r="B488" s="8" t="s">
        <v>39</v>
      </c>
      <c r="C488" s="9">
        <v>9.4090000000000007</v>
      </c>
      <c r="D488" s="9">
        <v>11.641</v>
      </c>
      <c r="E488" s="21"/>
      <c r="F488" s="12"/>
      <c r="G488" s="20" t="s">
        <v>22</v>
      </c>
      <c r="H488" s="12">
        <v>10000</v>
      </c>
      <c r="I488" s="12">
        <v>0</v>
      </c>
      <c r="J488" s="11"/>
      <c r="K488" s="14">
        <f t="shared" si="62"/>
        <v>-94090</v>
      </c>
      <c r="L488" s="15"/>
      <c r="M488" s="15"/>
      <c r="N488" s="16">
        <f t="shared" si="58"/>
        <v>0</v>
      </c>
      <c r="O488" s="17">
        <f t="shared" si="61"/>
        <v>0</v>
      </c>
      <c r="P488" s="18">
        <f t="shared" si="57"/>
        <v>94090</v>
      </c>
    </row>
    <row r="489" spans="1:16" x14ac:dyDescent="0.3">
      <c r="A489" s="7">
        <v>45446</v>
      </c>
      <c r="B489" s="8" t="s">
        <v>19</v>
      </c>
      <c r="C489" s="9">
        <v>9.4090000000000007</v>
      </c>
      <c r="D489" s="22">
        <v>0</v>
      </c>
      <c r="E489" s="24">
        <v>10000</v>
      </c>
      <c r="F489" s="12"/>
      <c r="G489" s="20" t="s">
        <v>17</v>
      </c>
      <c r="H489" s="12">
        <v>10000</v>
      </c>
      <c r="I489" s="12">
        <v>0</v>
      </c>
      <c r="J489" s="11"/>
      <c r="K489" s="14">
        <f t="shared" si="62"/>
        <v>364.54545454544132</v>
      </c>
      <c r="L489" s="15">
        <v>10.39</v>
      </c>
      <c r="M489" s="15"/>
      <c r="N489" s="16">
        <f t="shared" si="58"/>
        <v>103900</v>
      </c>
      <c r="O489" s="17">
        <f t="shared" si="61"/>
        <v>94454.545454545441</v>
      </c>
      <c r="P489" s="18">
        <f t="shared" si="57"/>
        <v>94090</v>
      </c>
    </row>
    <row r="490" spans="1:16" hidden="1" x14ac:dyDescent="0.3">
      <c r="A490" s="7">
        <v>45448</v>
      </c>
      <c r="B490" s="8" t="s">
        <v>39</v>
      </c>
      <c r="C490" s="9">
        <v>9.3179999999999996</v>
      </c>
      <c r="D490" s="22"/>
      <c r="E490" s="19">
        <v>32000</v>
      </c>
      <c r="F490" s="12"/>
      <c r="G490" s="20" t="s">
        <v>22</v>
      </c>
      <c r="H490" s="12">
        <v>2000</v>
      </c>
      <c r="I490" s="13"/>
      <c r="J490" s="11"/>
      <c r="K490" s="14">
        <f t="shared" si="62"/>
        <v>-18636</v>
      </c>
      <c r="L490" s="15"/>
      <c r="M490" s="15"/>
      <c r="N490" s="16">
        <f t="shared" si="58"/>
        <v>0</v>
      </c>
      <c r="O490" s="17">
        <f t="shared" si="61"/>
        <v>0</v>
      </c>
      <c r="P490" s="18">
        <f t="shared" si="57"/>
        <v>18636</v>
      </c>
    </row>
    <row r="491" spans="1:16" x14ac:dyDescent="0.3">
      <c r="A491" s="7">
        <v>45448</v>
      </c>
      <c r="B491" s="8" t="s">
        <v>39</v>
      </c>
      <c r="C491" s="9">
        <v>9.3179999999999996</v>
      </c>
      <c r="D491" s="22"/>
      <c r="E491" s="21"/>
      <c r="F491" s="12"/>
      <c r="G491" s="20" t="s">
        <v>27</v>
      </c>
      <c r="H491" s="12">
        <v>30000</v>
      </c>
      <c r="I491" s="12"/>
      <c r="J491" s="11"/>
      <c r="K491" s="14">
        <f t="shared" si="62"/>
        <v>31369.090909090883</v>
      </c>
      <c r="L491" s="15">
        <v>11.4</v>
      </c>
      <c r="M491" s="15"/>
      <c r="N491" s="16">
        <f t="shared" si="58"/>
        <v>342000</v>
      </c>
      <c r="O491" s="17">
        <f t="shared" si="61"/>
        <v>310909.09090909088</v>
      </c>
      <c r="P491" s="18">
        <f t="shared" si="57"/>
        <v>279540</v>
      </c>
    </row>
    <row r="492" spans="1:16" x14ac:dyDescent="0.3">
      <c r="A492" s="7">
        <v>45448</v>
      </c>
      <c r="B492" s="8" t="s">
        <v>19</v>
      </c>
      <c r="C492" s="9">
        <v>0</v>
      </c>
      <c r="D492" s="9">
        <f>13.15/1.1</f>
        <v>11.954545454545453</v>
      </c>
      <c r="E492" s="12"/>
      <c r="F492" s="24">
        <v>2000</v>
      </c>
      <c r="G492" s="20" t="s">
        <v>27</v>
      </c>
      <c r="H492" s="12">
        <v>0</v>
      </c>
      <c r="I492" s="13">
        <v>2000</v>
      </c>
      <c r="J492" s="11"/>
      <c r="K492" s="14">
        <f t="shared" si="62"/>
        <v>1309.0909090909081</v>
      </c>
      <c r="L492" s="15"/>
      <c r="M492" s="15">
        <v>13.87</v>
      </c>
      <c r="N492" s="16">
        <f t="shared" si="58"/>
        <v>27740</v>
      </c>
      <c r="O492" s="17">
        <f t="shared" si="61"/>
        <v>25218.181818181816</v>
      </c>
      <c r="P492" s="18">
        <f t="shared" si="57"/>
        <v>23909.090909090908</v>
      </c>
    </row>
    <row r="493" spans="1:16" x14ac:dyDescent="0.3">
      <c r="A493" s="7">
        <v>45449</v>
      </c>
      <c r="B493" s="8" t="s">
        <v>19</v>
      </c>
      <c r="C493" s="9">
        <f>10.45/1.1</f>
        <v>9.4999999999999982</v>
      </c>
      <c r="D493" s="9">
        <f>13.15/1.1</f>
        <v>11.954545454545453</v>
      </c>
      <c r="E493" s="24">
        <v>11000</v>
      </c>
      <c r="F493" s="35">
        <v>2000</v>
      </c>
      <c r="G493" s="20" t="s">
        <v>23</v>
      </c>
      <c r="H493" s="12">
        <v>11000</v>
      </c>
      <c r="I493" s="13">
        <v>2000</v>
      </c>
      <c r="J493" s="11"/>
      <c r="K493" s="14">
        <f t="shared" si="62"/>
        <v>14427.272727272721</v>
      </c>
      <c r="L493" s="15">
        <v>11.72</v>
      </c>
      <c r="M493" s="15">
        <v>14.1</v>
      </c>
      <c r="N493" s="16">
        <f t="shared" si="58"/>
        <v>157120</v>
      </c>
      <c r="O493" s="17">
        <f t="shared" si="61"/>
        <v>142836.36363636362</v>
      </c>
      <c r="P493" s="18">
        <f t="shared" si="57"/>
        <v>128409.0909090909</v>
      </c>
    </row>
    <row r="494" spans="1:16" x14ac:dyDescent="0.3">
      <c r="A494" s="7">
        <v>45451</v>
      </c>
      <c r="B494" s="8" t="s">
        <v>20</v>
      </c>
      <c r="C494" s="9">
        <v>9.2727199999999996</v>
      </c>
      <c r="D494" s="22">
        <v>11.3636</v>
      </c>
      <c r="E494" s="10">
        <v>90000</v>
      </c>
      <c r="F494" s="19">
        <v>25000</v>
      </c>
      <c r="G494" s="11" t="s">
        <v>17</v>
      </c>
      <c r="H494" s="12">
        <v>12000</v>
      </c>
      <c r="I494" s="13"/>
      <c r="J494" s="11"/>
      <c r="K494" s="14">
        <f t="shared" si="62"/>
        <v>545.5418181818095</v>
      </c>
      <c r="L494" s="15">
        <v>10.25</v>
      </c>
      <c r="M494" s="15">
        <v>12.7</v>
      </c>
      <c r="N494" s="16">
        <f t="shared" si="58"/>
        <v>123000</v>
      </c>
      <c r="O494" s="17">
        <f t="shared" si="61"/>
        <v>111818.18181818181</v>
      </c>
      <c r="P494" s="18">
        <f t="shared" si="57"/>
        <v>111272.64</v>
      </c>
    </row>
    <row r="495" spans="1:16" x14ac:dyDescent="0.3">
      <c r="A495" s="7">
        <v>45451</v>
      </c>
      <c r="B495" s="8" t="s">
        <v>20</v>
      </c>
      <c r="C495" s="9">
        <v>9.2727199999999996</v>
      </c>
      <c r="D495" s="22">
        <v>11.3636</v>
      </c>
      <c r="E495" s="19"/>
      <c r="F495" s="19"/>
      <c r="G495" s="20" t="s">
        <v>25</v>
      </c>
      <c r="H495" s="12">
        <v>15000</v>
      </c>
      <c r="I495" s="13">
        <v>6000</v>
      </c>
      <c r="J495" s="11"/>
      <c r="K495" s="14">
        <f t="shared" si="62"/>
        <v>33409.418181818182</v>
      </c>
      <c r="L495" s="15">
        <v>11.95</v>
      </c>
      <c r="M495" s="15">
        <v>14.25</v>
      </c>
      <c r="N495" s="16">
        <f t="shared" si="58"/>
        <v>264750</v>
      </c>
      <c r="O495" s="17">
        <f t="shared" si="61"/>
        <v>240681.81818181818</v>
      </c>
      <c r="P495" s="18">
        <f t="shared" si="57"/>
        <v>207272.4</v>
      </c>
    </row>
    <row r="496" spans="1:16" x14ac:dyDescent="0.3">
      <c r="A496" s="7">
        <v>45453</v>
      </c>
      <c r="B496" s="8" t="s">
        <v>20</v>
      </c>
      <c r="C496" s="9">
        <v>9.2727199999999996</v>
      </c>
      <c r="D496" s="22">
        <v>11.3636</v>
      </c>
      <c r="E496" s="19"/>
      <c r="F496" s="19"/>
      <c r="G496" s="20" t="s">
        <v>17</v>
      </c>
      <c r="H496" s="12">
        <v>23000</v>
      </c>
      <c r="I496" s="13">
        <v>10000</v>
      </c>
      <c r="J496" s="11"/>
      <c r="K496" s="14">
        <f t="shared" si="62"/>
        <v>2864.167272727238</v>
      </c>
      <c r="L496" s="15">
        <v>10.25</v>
      </c>
      <c r="M496" s="15">
        <v>12.7</v>
      </c>
      <c r="N496" s="16">
        <f t="shared" si="58"/>
        <v>362750</v>
      </c>
      <c r="O496" s="17">
        <f t="shared" si="61"/>
        <v>329772.72727272724</v>
      </c>
      <c r="P496" s="18">
        <f t="shared" si="57"/>
        <v>326908.56</v>
      </c>
    </row>
    <row r="497" spans="1:16" x14ac:dyDescent="0.3">
      <c r="A497" s="7">
        <v>45451</v>
      </c>
      <c r="B497" s="8" t="s">
        <v>20</v>
      </c>
      <c r="C497" s="9">
        <v>9.2727199999999996</v>
      </c>
      <c r="D497" s="22">
        <v>11.3636</v>
      </c>
      <c r="E497" s="19"/>
      <c r="F497" s="19"/>
      <c r="G497" s="20" t="s">
        <v>21</v>
      </c>
      <c r="H497" s="12">
        <v>20000</v>
      </c>
      <c r="I497" s="13">
        <v>2000</v>
      </c>
      <c r="J497" s="11"/>
      <c r="K497" s="14">
        <f t="shared" si="62"/>
        <v>32054.763636363612</v>
      </c>
      <c r="L497" s="15">
        <v>11.8</v>
      </c>
      <c r="M497" s="15">
        <v>14.13</v>
      </c>
      <c r="N497" s="16">
        <f t="shared" si="58"/>
        <v>264260</v>
      </c>
      <c r="O497" s="17">
        <f t="shared" si="61"/>
        <v>240236.36363636362</v>
      </c>
      <c r="P497" s="18">
        <f t="shared" si="57"/>
        <v>208181.6</v>
      </c>
    </row>
    <row r="498" spans="1:16" x14ac:dyDescent="0.3">
      <c r="A498" s="7">
        <v>45451</v>
      </c>
      <c r="B498" s="8" t="s">
        <v>20</v>
      </c>
      <c r="C498" s="9">
        <v>9.2727199999999996</v>
      </c>
      <c r="D498" s="22">
        <v>11.3636</v>
      </c>
      <c r="E498" s="19"/>
      <c r="F498" s="19"/>
      <c r="G498" s="11" t="s">
        <v>30</v>
      </c>
      <c r="H498" s="12">
        <v>10000</v>
      </c>
      <c r="I498" s="13"/>
      <c r="J498" s="11"/>
      <c r="K498" s="14">
        <f t="shared" si="62"/>
        <v>6363.7090909090912</v>
      </c>
      <c r="L498" s="15">
        <v>10.9</v>
      </c>
      <c r="M498" s="15"/>
      <c r="N498" s="16">
        <f t="shared" si="58"/>
        <v>109000</v>
      </c>
      <c r="O498" s="17">
        <f t="shared" si="61"/>
        <v>99090.909090909088</v>
      </c>
      <c r="P498" s="18">
        <f t="shared" si="57"/>
        <v>92727.2</v>
      </c>
    </row>
    <row r="499" spans="1:16" x14ac:dyDescent="0.3">
      <c r="A499" s="7">
        <v>45451</v>
      </c>
      <c r="B499" s="8" t="s">
        <v>20</v>
      </c>
      <c r="C499" s="9">
        <v>9.2727199999999996</v>
      </c>
      <c r="D499" s="22">
        <v>11.3636</v>
      </c>
      <c r="E499" s="21"/>
      <c r="F499" s="21"/>
      <c r="G499" s="20" t="s">
        <v>17</v>
      </c>
      <c r="H499" s="12">
        <v>10000</v>
      </c>
      <c r="I499" s="13">
        <v>7000</v>
      </c>
      <c r="J499" s="11"/>
      <c r="K499" s="14">
        <f t="shared" si="62"/>
        <v>1727.6000000000058</v>
      </c>
      <c r="L499" s="15">
        <v>10.25</v>
      </c>
      <c r="M499" s="15">
        <v>12.7</v>
      </c>
      <c r="N499" s="16">
        <f t="shared" si="58"/>
        <v>191400</v>
      </c>
      <c r="O499" s="17">
        <f t="shared" si="61"/>
        <v>174000</v>
      </c>
      <c r="P499" s="18">
        <f t="shared" si="57"/>
        <v>172272.4</v>
      </c>
    </row>
    <row r="500" spans="1:16" x14ac:dyDescent="0.3">
      <c r="A500" s="7">
        <v>45453</v>
      </c>
      <c r="B500" s="8" t="s">
        <v>19</v>
      </c>
      <c r="C500" s="9">
        <v>9.4090000000000007</v>
      </c>
      <c r="D500" s="9">
        <v>11.641</v>
      </c>
      <c r="E500" s="12">
        <v>3000</v>
      </c>
      <c r="F500" s="12"/>
      <c r="G500" s="11" t="s">
        <v>30</v>
      </c>
      <c r="H500" s="12">
        <v>3000</v>
      </c>
      <c r="I500" s="13"/>
      <c r="J500" s="11"/>
      <c r="K500" s="14">
        <f t="shared" si="62"/>
        <v>1500.2727272727207</v>
      </c>
      <c r="L500" s="15">
        <v>10.9</v>
      </c>
      <c r="M500" s="15"/>
      <c r="N500" s="16">
        <f t="shared" si="58"/>
        <v>32700</v>
      </c>
      <c r="O500" s="17">
        <f t="shared" si="61"/>
        <v>29727.272727272724</v>
      </c>
      <c r="P500" s="18">
        <f t="shared" si="57"/>
        <v>28227.000000000004</v>
      </c>
    </row>
    <row r="501" spans="1:16" x14ac:dyDescent="0.3">
      <c r="A501" s="7">
        <v>45453</v>
      </c>
      <c r="B501" s="8" t="s">
        <v>20</v>
      </c>
      <c r="C501" s="9">
        <v>9.2727199999999996</v>
      </c>
      <c r="D501" s="22">
        <v>11.3636</v>
      </c>
      <c r="E501" s="12">
        <v>28000</v>
      </c>
      <c r="F501" s="12">
        <v>4000</v>
      </c>
      <c r="G501" s="11" t="s">
        <v>27</v>
      </c>
      <c r="H501" s="12">
        <v>28000</v>
      </c>
      <c r="I501" s="13">
        <v>4000</v>
      </c>
      <c r="J501" s="11"/>
      <c r="K501" s="14">
        <f t="shared" si="62"/>
        <v>35527.621818181768</v>
      </c>
      <c r="L501" s="15">
        <v>11.4</v>
      </c>
      <c r="M501" s="15">
        <v>13.87</v>
      </c>
      <c r="N501" s="16">
        <f t="shared" si="58"/>
        <v>374680</v>
      </c>
      <c r="O501" s="17">
        <f t="shared" si="61"/>
        <v>340618.18181818177</v>
      </c>
      <c r="P501" s="18">
        <f t="shared" si="57"/>
        <v>305090.56</v>
      </c>
    </row>
    <row r="502" spans="1:16" x14ac:dyDescent="0.3">
      <c r="A502" s="7">
        <v>45454</v>
      </c>
      <c r="B502" s="8" t="s">
        <v>41</v>
      </c>
      <c r="C502" s="9">
        <v>9.2727000000000004</v>
      </c>
      <c r="D502" s="9">
        <v>11.545400000000001</v>
      </c>
      <c r="E502" s="10">
        <v>33000</v>
      </c>
      <c r="F502" s="10">
        <v>17000</v>
      </c>
      <c r="G502" s="20" t="s">
        <v>26</v>
      </c>
      <c r="H502" s="12">
        <v>23000</v>
      </c>
      <c r="I502" s="13">
        <v>10000</v>
      </c>
      <c r="J502" s="11"/>
      <c r="K502" s="14">
        <f t="shared" si="62"/>
        <v>52173.899999999907</v>
      </c>
      <c r="L502" s="15">
        <v>12.03</v>
      </c>
      <c r="M502" s="15">
        <v>14.23</v>
      </c>
      <c r="N502" s="16">
        <f t="shared" si="58"/>
        <v>418990</v>
      </c>
      <c r="O502" s="17">
        <f t="shared" si="61"/>
        <v>380899.99999999994</v>
      </c>
      <c r="P502" s="18">
        <f t="shared" si="57"/>
        <v>328726.10000000003</v>
      </c>
    </row>
    <row r="503" spans="1:16" x14ac:dyDescent="0.3">
      <c r="A503" s="7">
        <v>45454</v>
      </c>
      <c r="B503" s="8" t="s">
        <v>41</v>
      </c>
      <c r="C503" s="9">
        <v>9.2727000000000004</v>
      </c>
      <c r="D503" s="9">
        <v>11.545400000000001</v>
      </c>
      <c r="E503" s="19"/>
      <c r="F503" s="19"/>
      <c r="G503" s="20" t="s">
        <v>23</v>
      </c>
      <c r="H503" s="12">
        <v>10000</v>
      </c>
      <c r="I503" s="13">
        <v>3000</v>
      </c>
      <c r="J503" s="11"/>
      <c r="K503" s="14">
        <f t="shared" si="62"/>
        <v>17636.799999999988</v>
      </c>
      <c r="L503" s="15">
        <v>11.72</v>
      </c>
      <c r="M503" s="15">
        <v>14.1</v>
      </c>
      <c r="N503" s="16">
        <f t="shared" si="58"/>
        <v>159500</v>
      </c>
      <c r="O503" s="17">
        <f t="shared" si="61"/>
        <v>145000</v>
      </c>
      <c r="P503" s="18">
        <f t="shared" si="57"/>
        <v>127363.20000000001</v>
      </c>
    </row>
    <row r="504" spans="1:16" hidden="1" x14ac:dyDescent="0.3">
      <c r="A504" s="7">
        <v>45454</v>
      </c>
      <c r="B504" s="8" t="s">
        <v>41</v>
      </c>
      <c r="C504" s="9">
        <v>9.2727000000000004</v>
      </c>
      <c r="D504" s="9">
        <v>11.545400000000001</v>
      </c>
      <c r="E504" s="21"/>
      <c r="F504" s="21"/>
      <c r="G504" s="20" t="s">
        <v>22</v>
      </c>
      <c r="H504" s="12"/>
      <c r="I504" s="12">
        <v>4000</v>
      </c>
      <c r="J504" s="11"/>
      <c r="K504" s="14">
        <f t="shared" si="62"/>
        <v>-46181.600000000006</v>
      </c>
      <c r="L504" s="15"/>
      <c r="M504" s="15"/>
      <c r="N504" s="16">
        <f t="shared" si="58"/>
        <v>0</v>
      </c>
      <c r="O504" s="17">
        <f t="shared" si="61"/>
        <v>0</v>
      </c>
      <c r="P504" s="18">
        <f t="shared" si="57"/>
        <v>46181.600000000006</v>
      </c>
    </row>
    <row r="505" spans="1:16" x14ac:dyDescent="0.3">
      <c r="A505" s="7">
        <v>45455</v>
      </c>
      <c r="B505" s="8" t="s">
        <v>41</v>
      </c>
      <c r="C505" s="9">
        <v>9.2727000000000004</v>
      </c>
      <c r="D505" s="9">
        <v>11.545400000000001</v>
      </c>
      <c r="E505" s="10">
        <v>35000</v>
      </c>
      <c r="F505" s="10">
        <v>30000</v>
      </c>
      <c r="G505" s="20" t="s">
        <v>17</v>
      </c>
      <c r="H505" s="12">
        <v>13000</v>
      </c>
      <c r="I505" s="12">
        <v>20000</v>
      </c>
      <c r="J505" s="11"/>
      <c r="K505" s="14">
        <f t="shared" si="62"/>
        <v>1265.0818181817303</v>
      </c>
      <c r="L505" s="15">
        <v>10.23</v>
      </c>
      <c r="M505" s="15">
        <v>12.75</v>
      </c>
      <c r="N505" s="16">
        <f t="shared" si="58"/>
        <v>387990</v>
      </c>
      <c r="O505" s="17">
        <f t="shared" si="61"/>
        <v>352718.18181818177</v>
      </c>
      <c r="P505" s="18">
        <f t="shared" si="57"/>
        <v>351453.10000000003</v>
      </c>
    </row>
    <row r="506" spans="1:16" x14ac:dyDescent="0.3">
      <c r="A506" s="7">
        <v>45455</v>
      </c>
      <c r="B506" s="8" t="s">
        <v>41</v>
      </c>
      <c r="C506" s="9">
        <v>9.2727000000000004</v>
      </c>
      <c r="D506" s="9">
        <v>11.545400000000001</v>
      </c>
      <c r="E506" s="19"/>
      <c r="F506" s="19"/>
      <c r="G506" s="11" t="s">
        <v>30</v>
      </c>
      <c r="H506" s="12">
        <v>15000</v>
      </c>
      <c r="I506" s="13"/>
      <c r="J506" s="31">
        <v>295745.45</v>
      </c>
      <c r="K506" s="14">
        <f t="shared" si="62"/>
        <v>9545.8636363636178</v>
      </c>
      <c r="L506" s="14">
        <v>10.9</v>
      </c>
      <c r="M506" s="15"/>
      <c r="N506" s="16">
        <f>(H506*L506)+(I506*M506)</f>
        <v>163500</v>
      </c>
      <c r="O506" s="17">
        <f t="shared" si="61"/>
        <v>148636.36363636362</v>
      </c>
      <c r="P506" s="18">
        <f t="shared" si="57"/>
        <v>139090.5</v>
      </c>
    </row>
    <row r="507" spans="1:16" hidden="1" x14ac:dyDescent="0.3">
      <c r="A507" s="7">
        <v>45455</v>
      </c>
      <c r="B507" s="8" t="s">
        <v>41</v>
      </c>
      <c r="C507" s="9">
        <v>9.2727000000000004</v>
      </c>
      <c r="D507" s="9">
        <v>11.545400000000001</v>
      </c>
      <c r="E507" s="21"/>
      <c r="F507" s="21"/>
      <c r="G507" s="20" t="s">
        <v>22</v>
      </c>
      <c r="H507" s="12">
        <v>7000</v>
      </c>
      <c r="I507" s="13">
        <v>10000</v>
      </c>
      <c r="J507" s="31">
        <v>92727.27</v>
      </c>
      <c r="K507" s="14">
        <f t="shared" si="62"/>
        <v>-180362.90000000002</v>
      </c>
      <c r="L507" s="14"/>
      <c r="M507" s="15"/>
      <c r="N507" s="16">
        <f>(H507*L507)+(I507*M507)</f>
        <v>0</v>
      </c>
      <c r="O507" s="17">
        <f t="shared" si="61"/>
        <v>0</v>
      </c>
      <c r="P507" s="18">
        <f t="shared" si="57"/>
        <v>180362.90000000002</v>
      </c>
    </row>
    <row r="508" spans="1:16" x14ac:dyDescent="0.3">
      <c r="A508" s="7">
        <v>45456</v>
      </c>
      <c r="B508" s="8" t="s">
        <v>41</v>
      </c>
      <c r="C508" s="9">
        <f>10.15/1.1</f>
        <v>9.2272727272727266</v>
      </c>
      <c r="D508" s="9">
        <v>11.545400000000001</v>
      </c>
      <c r="E508" s="12">
        <v>30000</v>
      </c>
      <c r="F508" s="12">
        <v>2000</v>
      </c>
      <c r="G508" s="20" t="s">
        <v>27</v>
      </c>
      <c r="H508" s="12">
        <v>30000</v>
      </c>
      <c r="I508" s="13">
        <v>2000</v>
      </c>
      <c r="J508" s="31">
        <v>-38472.730000000003</v>
      </c>
      <c r="K508" s="14">
        <f t="shared" si="62"/>
        <v>36218.290909090894</v>
      </c>
      <c r="L508" s="15">
        <v>11.4</v>
      </c>
      <c r="M508" s="15">
        <v>13.87</v>
      </c>
      <c r="N508" s="16">
        <f t="shared" si="58"/>
        <v>369740</v>
      </c>
      <c r="O508" s="17">
        <f t="shared" si="61"/>
        <v>336127.27272727271</v>
      </c>
      <c r="P508" s="18">
        <f t="shared" si="57"/>
        <v>299908.98181818181</v>
      </c>
    </row>
    <row r="509" spans="1:16" x14ac:dyDescent="0.3">
      <c r="A509" s="7">
        <v>45457</v>
      </c>
      <c r="B509" s="8" t="s">
        <v>41</v>
      </c>
      <c r="C509" s="9">
        <f>10.15/1.1</f>
        <v>9.2272727272727266</v>
      </c>
      <c r="D509" s="9">
        <v>11.545400000000001</v>
      </c>
      <c r="E509" s="10">
        <v>44000</v>
      </c>
      <c r="F509" s="10">
        <v>6000</v>
      </c>
      <c r="G509" s="20" t="s">
        <v>17</v>
      </c>
      <c r="H509" s="12">
        <v>17000</v>
      </c>
      <c r="I509" s="13"/>
      <c r="J509" s="31">
        <v>32427.27</v>
      </c>
      <c r="K509" s="14">
        <f t="shared" si="62"/>
        <v>1236.3636363636469</v>
      </c>
      <c r="L509" s="15">
        <v>10.23</v>
      </c>
      <c r="M509" s="15">
        <v>12.75</v>
      </c>
      <c r="N509" s="16">
        <f t="shared" si="58"/>
        <v>173910</v>
      </c>
      <c r="O509" s="17">
        <f t="shared" si="61"/>
        <v>158100</v>
      </c>
      <c r="P509" s="18">
        <f t="shared" si="57"/>
        <v>156863.63636363635</v>
      </c>
    </row>
    <row r="510" spans="1:16" x14ac:dyDescent="0.3">
      <c r="A510" s="7">
        <v>45457</v>
      </c>
      <c r="B510" s="8" t="s">
        <v>41</v>
      </c>
      <c r="C510" s="9">
        <f>10.15/1.1</f>
        <v>9.2272727272727266</v>
      </c>
      <c r="D510" s="9">
        <v>11.545400000000001</v>
      </c>
      <c r="E510" s="21"/>
      <c r="F510" s="21"/>
      <c r="G510" s="11" t="s">
        <v>17</v>
      </c>
      <c r="H510" s="12">
        <v>27000</v>
      </c>
      <c r="I510" s="13">
        <v>6000</v>
      </c>
      <c r="J510" s="31">
        <v>4502.55</v>
      </c>
      <c r="K510" s="14">
        <f t="shared" si="62"/>
        <v>2236.6909090909176</v>
      </c>
      <c r="L510" s="15">
        <v>10.23</v>
      </c>
      <c r="M510" s="15">
        <v>12.75</v>
      </c>
      <c r="N510" s="16">
        <f t="shared" si="58"/>
        <v>352710</v>
      </c>
      <c r="O510" s="17">
        <f t="shared" si="61"/>
        <v>320645.45454545453</v>
      </c>
      <c r="P510" s="18">
        <f t="shared" si="57"/>
        <v>318408.76363636361</v>
      </c>
    </row>
    <row r="511" spans="1:16" x14ac:dyDescent="0.3">
      <c r="A511" s="7">
        <v>45457</v>
      </c>
      <c r="B511" s="8" t="s">
        <v>19</v>
      </c>
      <c r="C511" s="9">
        <v>9.2727000000000004</v>
      </c>
      <c r="D511" s="9">
        <v>11.545400000000001</v>
      </c>
      <c r="E511" s="12">
        <v>3000</v>
      </c>
      <c r="F511" s="12"/>
      <c r="G511" s="11" t="s">
        <v>30</v>
      </c>
      <c r="H511" s="12">
        <v>3000</v>
      </c>
      <c r="I511" s="13"/>
      <c r="J511" s="11"/>
      <c r="K511" s="14">
        <f t="shared" si="62"/>
        <v>1909.1727272727221</v>
      </c>
      <c r="L511" s="15">
        <v>10.9</v>
      </c>
      <c r="M511" s="15"/>
      <c r="N511" s="16">
        <f t="shared" si="58"/>
        <v>32700</v>
      </c>
      <c r="O511" s="17">
        <f t="shared" si="61"/>
        <v>29727.272727272724</v>
      </c>
      <c r="P511" s="18">
        <f t="shared" si="57"/>
        <v>27818.100000000002</v>
      </c>
    </row>
    <row r="512" spans="1:16" x14ac:dyDescent="0.3">
      <c r="A512" s="7">
        <v>45458</v>
      </c>
      <c r="B512" s="8" t="s">
        <v>43</v>
      </c>
      <c r="C512" s="9">
        <v>9.68</v>
      </c>
      <c r="D512" s="9">
        <v>11.826000000000001</v>
      </c>
      <c r="E512" s="10">
        <v>28000</v>
      </c>
      <c r="F512" s="10">
        <v>4000</v>
      </c>
      <c r="G512" s="11" t="s">
        <v>46</v>
      </c>
      <c r="H512" s="12">
        <v>5000</v>
      </c>
      <c r="I512" s="13"/>
      <c r="J512" s="11"/>
      <c r="K512" s="14">
        <f t="shared" si="62"/>
        <v>5372.7272727272648</v>
      </c>
      <c r="L512" s="15">
        <v>11.83</v>
      </c>
      <c r="M512" s="15"/>
      <c r="N512" s="16">
        <f t="shared" si="58"/>
        <v>59150</v>
      </c>
      <c r="O512" s="17">
        <f t="shared" si="61"/>
        <v>53772.727272727265</v>
      </c>
      <c r="P512" s="18">
        <f t="shared" si="57"/>
        <v>48400</v>
      </c>
    </row>
    <row r="513" spans="1:16" x14ac:dyDescent="0.3">
      <c r="A513" s="7">
        <v>45458</v>
      </c>
      <c r="B513" s="8" t="s">
        <v>43</v>
      </c>
      <c r="C513" s="9">
        <v>9.68</v>
      </c>
      <c r="D513" s="9">
        <v>11.826000000000001</v>
      </c>
      <c r="E513" s="19"/>
      <c r="F513" s="19"/>
      <c r="G513" s="20" t="s">
        <v>23</v>
      </c>
      <c r="H513" s="12">
        <v>12000</v>
      </c>
      <c r="I513" s="13">
        <v>4000</v>
      </c>
      <c r="J513" s="11"/>
      <c r="K513" s="14">
        <f t="shared" si="62"/>
        <v>15663.272727272706</v>
      </c>
      <c r="L513" s="15">
        <v>11.72</v>
      </c>
      <c r="M513" s="15">
        <v>14.1</v>
      </c>
      <c r="N513" s="16">
        <f t="shared" si="58"/>
        <v>197040</v>
      </c>
      <c r="O513" s="17">
        <f t="shared" si="61"/>
        <v>179127.27272727271</v>
      </c>
      <c r="P513" s="18">
        <f t="shared" si="57"/>
        <v>163464</v>
      </c>
    </row>
    <row r="514" spans="1:16" hidden="1" x14ac:dyDescent="0.3">
      <c r="A514" s="7">
        <v>45458</v>
      </c>
      <c r="B514" s="8" t="s">
        <v>43</v>
      </c>
      <c r="C514" s="9">
        <v>9.68</v>
      </c>
      <c r="D514" s="9">
        <v>11.826000000000001</v>
      </c>
      <c r="E514" s="21"/>
      <c r="F514" s="21"/>
      <c r="G514" s="11" t="s">
        <v>22</v>
      </c>
      <c r="H514" s="12">
        <v>11000</v>
      </c>
      <c r="I514" s="13"/>
      <c r="J514" s="11"/>
      <c r="K514" s="14">
        <f t="shared" si="62"/>
        <v>-106480</v>
      </c>
      <c r="L514" s="15"/>
      <c r="M514" s="15"/>
      <c r="N514" s="16">
        <f t="shared" si="58"/>
        <v>0</v>
      </c>
      <c r="O514" s="17">
        <f t="shared" si="61"/>
        <v>0</v>
      </c>
      <c r="P514" s="18">
        <f t="shared" si="57"/>
        <v>106480</v>
      </c>
    </row>
    <row r="515" spans="1:16" hidden="1" x14ac:dyDescent="0.3">
      <c r="A515" s="7">
        <v>45462</v>
      </c>
      <c r="B515" s="8" t="s">
        <v>39</v>
      </c>
      <c r="C515" s="9">
        <v>9.25</v>
      </c>
      <c r="D515" s="9">
        <v>0</v>
      </c>
      <c r="E515" s="10">
        <v>32000</v>
      </c>
      <c r="F515" s="12"/>
      <c r="G515" s="11" t="s">
        <v>22</v>
      </c>
      <c r="H515" s="12">
        <v>4000</v>
      </c>
      <c r="I515" s="13"/>
      <c r="J515" s="11"/>
      <c r="K515" s="14">
        <f t="shared" si="62"/>
        <v>-37000</v>
      </c>
      <c r="L515" s="15"/>
      <c r="M515" s="15"/>
      <c r="N515" s="16">
        <f t="shared" si="58"/>
        <v>0</v>
      </c>
      <c r="O515" s="17">
        <f t="shared" si="61"/>
        <v>0</v>
      </c>
      <c r="P515" s="18">
        <f t="shared" si="57"/>
        <v>37000</v>
      </c>
    </row>
    <row r="516" spans="1:16" x14ac:dyDescent="0.3">
      <c r="A516" s="7">
        <v>45462</v>
      </c>
      <c r="B516" s="8" t="s">
        <v>39</v>
      </c>
      <c r="C516" s="9">
        <v>9.25</v>
      </c>
      <c r="D516" s="9">
        <v>0</v>
      </c>
      <c r="E516" s="21"/>
      <c r="F516" s="12"/>
      <c r="G516" s="11" t="s">
        <v>21</v>
      </c>
      <c r="H516" s="12">
        <v>28000</v>
      </c>
      <c r="I516" s="13"/>
      <c r="J516" s="11"/>
      <c r="K516" s="14">
        <f t="shared" si="62"/>
        <v>37545.45454545453</v>
      </c>
      <c r="L516" s="15">
        <v>11.65</v>
      </c>
      <c r="M516" s="15">
        <v>13.98</v>
      </c>
      <c r="N516" s="16">
        <f t="shared" si="58"/>
        <v>326200</v>
      </c>
      <c r="O516" s="17">
        <f t="shared" si="61"/>
        <v>296545.45454545453</v>
      </c>
      <c r="P516" s="18">
        <f t="shared" si="57"/>
        <v>259000</v>
      </c>
    </row>
    <row r="517" spans="1:16" x14ac:dyDescent="0.3">
      <c r="A517" s="7">
        <v>45462</v>
      </c>
      <c r="B517" s="8" t="s">
        <v>19</v>
      </c>
      <c r="C517" s="9">
        <v>0</v>
      </c>
      <c r="D517" s="9">
        <v>11.545400000000001</v>
      </c>
      <c r="E517" s="12"/>
      <c r="F517" s="12">
        <v>4000</v>
      </c>
      <c r="G517" s="11" t="s">
        <v>21</v>
      </c>
      <c r="H517" s="12"/>
      <c r="I517" s="13">
        <v>4000</v>
      </c>
      <c r="J517" s="11"/>
      <c r="K517" s="14">
        <f t="shared" si="62"/>
        <v>4654.7636363636266</v>
      </c>
      <c r="L517" s="15">
        <v>11.65</v>
      </c>
      <c r="M517" s="15">
        <v>13.98</v>
      </c>
      <c r="N517" s="16">
        <f>(H517*L517)+(I517*M517)</f>
        <v>55920</v>
      </c>
      <c r="O517" s="17">
        <f t="shared" si="61"/>
        <v>50836.363636363632</v>
      </c>
      <c r="P517" s="18">
        <f t="shared" si="57"/>
        <v>46181.600000000006</v>
      </c>
    </row>
    <row r="518" spans="1:16" hidden="1" x14ac:dyDescent="0.3">
      <c r="A518" s="7">
        <v>45463</v>
      </c>
      <c r="B518" s="8" t="s">
        <v>39</v>
      </c>
      <c r="C518" s="9">
        <v>9.25</v>
      </c>
      <c r="D518" s="9">
        <v>0</v>
      </c>
      <c r="E518" s="10">
        <v>33000</v>
      </c>
      <c r="F518" s="12"/>
      <c r="G518" s="11" t="s">
        <v>22</v>
      </c>
      <c r="H518" s="12">
        <v>2000</v>
      </c>
      <c r="I518" s="13"/>
      <c r="J518" s="11"/>
      <c r="K518" s="14">
        <f t="shared" si="62"/>
        <v>-18500</v>
      </c>
      <c r="L518" s="15"/>
      <c r="M518" s="15"/>
      <c r="N518" s="16">
        <f t="shared" si="58"/>
        <v>0</v>
      </c>
      <c r="O518" s="17">
        <f t="shared" si="61"/>
        <v>0</v>
      </c>
      <c r="P518" s="18">
        <f t="shared" ref="P518:P581" si="63">(C518*H518)+(I518*D518)</f>
        <v>18500</v>
      </c>
    </row>
    <row r="519" spans="1:16" x14ac:dyDescent="0.3">
      <c r="A519" s="7">
        <v>45463</v>
      </c>
      <c r="B519" s="8" t="s">
        <v>39</v>
      </c>
      <c r="C519" s="9">
        <v>9.25</v>
      </c>
      <c r="D519" s="9">
        <v>0</v>
      </c>
      <c r="E519" s="21"/>
      <c r="F519" s="12"/>
      <c r="G519" s="11" t="s">
        <v>27</v>
      </c>
      <c r="H519" s="12">
        <v>31000</v>
      </c>
      <c r="I519" s="13"/>
      <c r="J519" s="11"/>
      <c r="K519" s="14">
        <f t="shared" si="62"/>
        <v>30295.45454545453</v>
      </c>
      <c r="L519" s="15">
        <v>11.25</v>
      </c>
      <c r="M519" s="15">
        <v>13.72</v>
      </c>
      <c r="N519" s="16">
        <f t="shared" si="58"/>
        <v>348750</v>
      </c>
      <c r="O519" s="17">
        <f t="shared" si="61"/>
        <v>317045.45454545453</v>
      </c>
      <c r="P519" s="18">
        <f t="shared" si="63"/>
        <v>286750</v>
      </c>
    </row>
    <row r="520" spans="1:16" x14ac:dyDescent="0.3">
      <c r="A520" s="7">
        <v>45463</v>
      </c>
      <c r="B520" s="8" t="s">
        <v>19</v>
      </c>
      <c r="C520" s="9">
        <v>0</v>
      </c>
      <c r="D520" s="9">
        <v>11.545400000000001</v>
      </c>
      <c r="E520" s="12"/>
      <c r="F520" s="12">
        <v>2000</v>
      </c>
      <c r="G520" s="11" t="s">
        <v>27</v>
      </c>
      <c r="H520" s="12"/>
      <c r="I520" s="13">
        <v>2000</v>
      </c>
      <c r="J520" s="11"/>
      <c r="K520" s="14">
        <f t="shared" si="62"/>
        <v>1854.6545454545412</v>
      </c>
      <c r="L520" s="15">
        <v>11.25</v>
      </c>
      <c r="M520" s="15">
        <v>13.72</v>
      </c>
      <c r="N520" s="16">
        <f t="shared" si="58"/>
        <v>27440</v>
      </c>
      <c r="O520" s="17">
        <f t="shared" si="61"/>
        <v>24945.454545454544</v>
      </c>
      <c r="P520" s="18">
        <f t="shared" si="63"/>
        <v>23090.800000000003</v>
      </c>
    </row>
    <row r="521" spans="1:16" x14ac:dyDescent="0.3">
      <c r="A521" s="7">
        <v>45464</v>
      </c>
      <c r="B521" s="8" t="s">
        <v>43</v>
      </c>
      <c r="C521" s="9">
        <v>9.58</v>
      </c>
      <c r="D521" s="9">
        <v>11.058</v>
      </c>
      <c r="E521" s="24">
        <v>26000</v>
      </c>
      <c r="F521" s="24">
        <v>6000</v>
      </c>
      <c r="G521" s="11" t="s">
        <v>36</v>
      </c>
      <c r="H521" s="12">
        <v>26000</v>
      </c>
      <c r="I521" s="13">
        <v>6000</v>
      </c>
      <c r="J521" s="11"/>
      <c r="K521" s="14">
        <f t="shared" si="62"/>
        <v>33008.363636363589</v>
      </c>
      <c r="L521" s="15">
        <v>11.58</v>
      </c>
      <c r="M521" s="15">
        <v>13.7</v>
      </c>
      <c r="N521" s="16">
        <f t="shared" si="58"/>
        <v>383280</v>
      </c>
      <c r="O521" s="17">
        <f t="shared" si="61"/>
        <v>348436.36363636359</v>
      </c>
      <c r="P521" s="18">
        <f t="shared" si="63"/>
        <v>315428</v>
      </c>
    </row>
    <row r="522" spans="1:16" x14ac:dyDescent="0.3">
      <c r="A522" s="7">
        <v>45465</v>
      </c>
      <c r="B522" s="8" t="s">
        <v>43</v>
      </c>
      <c r="C522" s="9">
        <v>9.58</v>
      </c>
      <c r="D522" s="9">
        <v>11.058</v>
      </c>
      <c r="E522" s="10">
        <v>22000</v>
      </c>
      <c r="F522" s="10">
        <v>10000</v>
      </c>
      <c r="G522" s="11" t="s">
        <v>28</v>
      </c>
      <c r="H522" s="12">
        <v>12000</v>
      </c>
      <c r="I522" s="13">
        <v>6000</v>
      </c>
      <c r="J522" s="11"/>
      <c r="K522" s="14">
        <f t="shared" si="62"/>
        <v>21655.636363636353</v>
      </c>
      <c r="L522" s="15">
        <v>11.66</v>
      </c>
      <c r="M522" s="15">
        <v>13.89</v>
      </c>
      <c r="N522" s="16">
        <f t="shared" si="58"/>
        <v>223260</v>
      </c>
      <c r="O522" s="17">
        <f t="shared" si="61"/>
        <v>202963.63636363635</v>
      </c>
      <c r="P522" s="18">
        <f t="shared" si="63"/>
        <v>181308</v>
      </c>
    </row>
    <row r="523" spans="1:16" x14ac:dyDescent="0.3">
      <c r="A523" s="7">
        <v>45465</v>
      </c>
      <c r="B523" s="8" t="s">
        <v>43</v>
      </c>
      <c r="C523" s="9">
        <v>9.58</v>
      </c>
      <c r="D523" s="9">
        <v>11.058</v>
      </c>
      <c r="E523" s="19"/>
      <c r="F523" s="19"/>
      <c r="G523" s="11" t="s">
        <v>23</v>
      </c>
      <c r="H523" s="12">
        <v>10000</v>
      </c>
      <c r="I523" s="13">
        <v>4000</v>
      </c>
      <c r="J523" s="11"/>
      <c r="K523" s="14">
        <f t="shared" si="62"/>
        <v>15877.090909090883</v>
      </c>
      <c r="L523" s="15">
        <v>11.57</v>
      </c>
      <c r="M523" s="15">
        <v>13.95</v>
      </c>
      <c r="N523" s="16">
        <f t="shared" si="58"/>
        <v>171500</v>
      </c>
      <c r="O523" s="17">
        <f t="shared" si="61"/>
        <v>155909.09090909088</v>
      </c>
      <c r="P523" s="18">
        <f t="shared" si="63"/>
        <v>140032</v>
      </c>
    </row>
    <row r="524" spans="1:16" x14ac:dyDescent="0.3">
      <c r="A524" s="7">
        <v>45464</v>
      </c>
      <c r="B524" s="8" t="s">
        <v>39</v>
      </c>
      <c r="C524" s="9">
        <v>9.25</v>
      </c>
      <c r="D524" s="9"/>
      <c r="E524" s="12">
        <v>33000</v>
      </c>
      <c r="F524" s="12"/>
      <c r="G524" s="11" t="s">
        <v>17</v>
      </c>
      <c r="H524" s="12">
        <v>33000</v>
      </c>
      <c r="I524" s="13"/>
      <c r="J524" s="11"/>
      <c r="K524" s="14">
        <f t="shared" si="62"/>
        <v>750</v>
      </c>
      <c r="L524" s="15">
        <v>10.199999999999999</v>
      </c>
      <c r="M524" s="15"/>
      <c r="N524" s="16">
        <f t="shared" si="58"/>
        <v>336600</v>
      </c>
      <c r="O524" s="17">
        <f t="shared" si="61"/>
        <v>306000</v>
      </c>
      <c r="P524" s="18">
        <f t="shared" si="63"/>
        <v>305250</v>
      </c>
    </row>
    <row r="525" spans="1:16" hidden="1" x14ac:dyDescent="0.3">
      <c r="A525" s="7">
        <v>45465</v>
      </c>
      <c r="B525" s="8" t="s">
        <v>41</v>
      </c>
      <c r="C525" s="9">
        <v>9.2727199999999996</v>
      </c>
      <c r="D525" s="9">
        <v>11.545450000000001</v>
      </c>
      <c r="E525" s="12">
        <v>13000</v>
      </c>
      <c r="F525" s="12">
        <v>4000</v>
      </c>
      <c r="G525" s="11" t="s">
        <v>22</v>
      </c>
      <c r="H525" s="12">
        <v>13000</v>
      </c>
      <c r="I525" s="13">
        <v>4000</v>
      </c>
      <c r="J525" s="11"/>
      <c r="K525" s="14"/>
      <c r="L525" s="15"/>
      <c r="M525" s="15"/>
      <c r="N525" s="16">
        <f t="shared" si="58"/>
        <v>0</v>
      </c>
      <c r="O525" s="17">
        <f t="shared" si="61"/>
        <v>0</v>
      </c>
      <c r="P525" s="18">
        <f t="shared" si="63"/>
        <v>166727.16</v>
      </c>
    </row>
    <row r="526" spans="1:16" hidden="1" x14ac:dyDescent="0.3">
      <c r="A526" s="7">
        <v>45467</v>
      </c>
      <c r="B526" s="8" t="s">
        <v>39</v>
      </c>
      <c r="C526" s="9">
        <v>9.25</v>
      </c>
      <c r="D526" s="9"/>
      <c r="E526" s="10">
        <v>32000</v>
      </c>
      <c r="F526" s="12"/>
      <c r="G526" s="11" t="s">
        <v>22</v>
      </c>
      <c r="H526" s="12">
        <v>4000</v>
      </c>
      <c r="I526" s="13"/>
      <c r="J526" s="11"/>
      <c r="K526" s="14">
        <f t="shared" si="62"/>
        <v>-37000</v>
      </c>
      <c r="L526" s="15"/>
      <c r="M526" s="15"/>
      <c r="N526" s="16">
        <f t="shared" si="58"/>
        <v>0</v>
      </c>
      <c r="O526" s="17">
        <f t="shared" si="61"/>
        <v>0</v>
      </c>
      <c r="P526" s="18">
        <f t="shared" si="63"/>
        <v>37000</v>
      </c>
    </row>
    <row r="527" spans="1:16" x14ac:dyDescent="0.3">
      <c r="A527" s="7">
        <v>45467</v>
      </c>
      <c r="B527" s="8" t="s">
        <v>39</v>
      </c>
      <c r="C527" s="9">
        <v>9.25</v>
      </c>
      <c r="D527" s="9"/>
      <c r="E527" s="19"/>
      <c r="F527" s="12"/>
      <c r="G527" s="11" t="s">
        <v>31</v>
      </c>
      <c r="H527" s="12">
        <v>28000</v>
      </c>
      <c r="I527" s="13"/>
      <c r="J527" s="11"/>
      <c r="K527" s="14">
        <f t="shared" si="62"/>
        <v>30672.727272727236</v>
      </c>
      <c r="L527" s="15">
        <v>11.38</v>
      </c>
      <c r="M527" s="15">
        <v>13.65</v>
      </c>
      <c r="N527" s="16">
        <f t="shared" si="58"/>
        <v>318640</v>
      </c>
      <c r="O527" s="17">
        <f t="shared" si="61"/>
        <v>289672.72727272724</v>
      </c>
      <c r="P527" s="18">
        <f t="shared" si="63"/>
        <v>259000</v>
      </c>
    </row>
    <row r="528" spans="1:16" x14ac:dyDescent="0.3">
      <c r="A528" s="7">
        <v>45467</v>
      </c>
      <c r="B528" s="8" t="s">
        <v>19</v>
      </c>
      <c r="C528" s="9"/>
      <c r="D528" s="9">
        <v>11.058</v>
      </c>
      <c r="E528" s="13"/>
      <c r="F528" s="12">
        <v>4000</v>
      </c>
      <c r="G528" s="11" t="s">
        <v>31</v>
      </c>
      <c r="H528" s="12"/>
      <c r="I528" s="13">
        <v>4000</v>
      </c>
      <c r="J528" s="11"/>
      <c r="K528" s="14">
        <f t="shared" si="62"/>
        <v>5404.3636363636324</v>
      </c>
      <c r="L528" s="15">
        <v>11.38</v>
      </c>
      <c r="M528" s="15">
        <v>13.65</v>
      </c>
      <c r="N528" s="16">
        <f t="shared" si="58"/>
        <v>54600</v>
      </c>
      <c r="O528" s="17">
        <f t="shared" si="61"/>
        <v>49636.363636363632</v>
      </c>
      <c r="P528" s="18">
        <f t="shared" si="63"/>
        <v>44232</v>
      </c>
    </row>
    <row r="529" spans="1:16" hidden="1" x14ac:dyDescent="0.3">
      <c r="A529" s="7">
        <v>45468</v>
      </c>
      <c r="B529" s="8" t="s">
        <v>39</v>
      </c>
      <c r="C529" s="9">
        <v>9.25</v>
      </c>
      <c r="D529" s="9"/>
      <c r="E529" s="36">
        <v>32000</v>
      </c>
      <c r="F529" s="12"/>
      <c r="G529" s="11" t="s">
        <v>22</v>
      </c>
      <c r="H529" s="12">
        <v>4000</v>
      </c>
      <c r="I529" s="13"/>
      <c r="J529" s="11"/>
      <c r="K529" s="14">
        <f t="shared" si="62"/>
        <v>-37000</v>
      </c>
      <c r="L529" s="15"/>
      <c r="M529" s="15"/>
      <c r="N529" s="16">
        <f t="shared" si="58"/>
        <v>0</v>
      </c>
      <c r="O529" s="17">
        <f t="shared" si="61"/>
        <v>0</v>
      </c>
      <c r="P529" s="18">
        <f t="shared" si="63"/>
        <v>37000</v>
      </c>
    </row>
    <row r="530" spans="1:16" x14ac:dyDescent="0.3">
      <c r="A530" s="7">
        <v>45468</v>
      </c>
      <c r="B530" s="8" t="s">
        <v>39</v>
      </c>
      <c r="C530" s="9">
        <v>9.25</v>
      </c>
      <c r="D530" s="9"/>
      <c r="E530" s="36"/>
      <c r="F530" s="12"/>
      <c r="G530" s="26" t="s">
        <v>27</v>
      </c>
      <c r="H530" s="12">
        <v>28000</v>
      </c>
      <c r="I530" s="13"/>
      <c r="J530" s="11"/>
      <c r="K530" s="14">
        <f t="shared" si="62"/>
        <v>27363.636363636353</v>
      </c>
      <c r="L530" s="15">
        <v>11.25</v>
      </c>
      <c r="M530" s="15">
        <v>13.72</v>
      </c>
      <c r="N530" s="16">
        <f t="shared" si="58"/>
        <v>315000</v>
      </c>
      <c r="O530" s="17">
        <f t="shared" si="61"/>
        <v>286363.63636363635</v>
      </c>
      <c r="P530" s="18">
        <f t="shared" si="63"/>
        <v>259000</v>
      </c>
    </row>
    <row r="531" spans="1:16" x14ac:dyDescent="0.3">
      <c r="A531" s="7">
        <v>45468</v>
      </c>
      <c r="B531" s="8" t="s">
        <v>19</v>
      </c>
      <c r="C531" s="9"/>
      <c r="D531" s="9">
        <v>11.058</v>
      </c>
      <c r="E531" s="12"/>
      <c r="F531" s="12">
        <v>4000</v>
      </c>
      <c r="G531" s="11" t="s">
        <v>27</v>
      </c>
      <c r="H531" s="12"/>
      <c r="I531" s="13">
        <v>4000</v>
      </c>
      <c r="J531" s="11"/>
      <c r="K531" s="14">
        <f t="shared" si="62"/>
        <v>5658.9090909090883</v>
      </c>
      <c r="L531" s="15">
        <v>11.25</v>
      </c>
      <c r="M531" s="15">
        <v>13.72</v>
      </c>
      <c r="N531" s="16">
        <f t="shared" si="58"/>
        <v>54880</v>
      </c>
      <c r="O531" s="17">
        <f t="shared" si="61"/>
        <v>49890.909090909088</v>
      </c>
      <c r="P531" s="18">
        <f t="shared" si="63"/>
        <v>44232</v>
      </c>
    </row>
    <row r="532" spans="1:16" hidden="1" x14ac:dyDescent="0.3">
      <c r="A532" s="7">
        <v>45469</v>
      </c>
      <c r="B532" s="8" t="s">
        <v>43</v>
      </c>
      <c r="C532" s="9"/>
      <c r="D532" s="9">
        <v>11.058</v>
      </c>
      <c r="E532" s="12"/>
      <c r="F532" s="10">
        <v>17000</v>
      </c>
      <c r="G532" s="11" t="s">
        <v>22</v>
      </c>
      <c r="H532" s="12">
        <v>0</v>
      </c>
      <c r="I532" s="13">
        <v>10000</v>
      </c>
      <c r="J532" s="11"/>
      <c r="K532" s="14">
        <f t="shared" si="62"/>
        <v>-110580</v>
      </c>
      <c r="L532" s="15"/>
      <c r="M532" s="15"/>
      <c r="N532" s="16">
        <f t="shared" si="58"/>
        <v>0</v>
      </c>
      <c r="O532" s="17">
        <f t="shared" si="61"/>
        <v>0</v>
      </c>
      <c r="P532" s="18">
        <f t="shared" si="63"/>
        <v>110580</v>
      </c>
    </row>
    <row r="533" spans="1:16" x14ac:dyDescent="0.3">
      <c r="A533" s="7">
        <v>45469</v>
      </c>
      <c r="B533" s="8" t="s">
        <v>43</v>
      </c>
      <c r="C533" s="9"/>
      <c r="D533" s="9">
        <v>11.058</v>
      </c>
      <c r="E533" s="12"/>
      <c r="F533" s="19"/>
      <c r="G533" s="11" t="s">
        <v>17</v>
      </c>
      <c r="H533" s="12"/>
      <c r="I533" s="13">
        <v>4000</v>
      </c>
      <c r="J533" s="11"/>
      <c r="K533" s="14">
        <f t="shared" si="62"/>
        <v>1586.1818181818162</v>
      </c>
      <c r="L533" s="15"/>
      <c r="M533" s="15">
        <v>12.6</v>
      </c>
      <c r="N533" s="16">
        <f t="shared" si="58"/>
        <v>50400</v>
      </c>
      <c r="O533" s="17">
        <f t="shared" si="61"/>
        <v>45818.181818181816</v>
      </c>
      <c r="P533" s="18">
        <f t="shared" si="63"/>
        <v>44232</v>
      </c>
    </row>
    <row r="534" spans="1:16" x14ac:dyDescent="0.3">
      <c r="A534" s="7">
        <v>45469</v>
      </c>
      <c r="B534" s="8" t="s">
        <v>43</v>
      </c>
      <c r="C534" s="9"/>
      <c r="D534" s="9">
        <v>11.058</v>
      </c>
      <c r="E534" s="12"/>
      <c r="F534" s="21"/>
      <c r="G534" s="11" t="s">
        <v>23</v>
      </c>
      <c r="H534" s="12"/>
      <c r="I534" s="13">
        <v>3000</v>
      </c>
      <c r="J534" s="11"/>
      <c r="K534" s="14">
        <f t="shared" si="62"/>
        <v>4871.4545454545441</v>
      </c>
      <c r="L534" s="15">
        <v>11.57</v>
      </c>
      <c r="M534" s="15">
        <v>13.95</v>
      </c>
      <c r="N534" s="16">
        <f t="shared" si="58"/>
        <v>41850</v>
      </c>
      <c r="O534" s="17">
        <f t="shared" si="61"/>
        <v>38045.454545454544</v>
      </c>
      <c r="P534" s="18">
        <f t="shared" si="63"/>
        <v>33174</v>
      </c>
    </row>
    <row r="535" spans="1:16" x14ac:dyDescent="0.3">
      <c r="A535" s="7">
        <v>45469</v>
      </c>
      <c r="B535" s="8" t="s">
        <v>19</v>
      </c>
      <c r="C535" s="9">
        <v>9.25</v>
      </c>
      <c r="D535" s="9"/>
      <c r="E535" s="24">
        <v>10000</v>
      </c>
      <c r="F535" s="24"/>
      <c r="G535" s="11" t="s">
        <v>23</v>
      </c>
      <c r="H535" s="12">
        <v>10000</v>
      </c>
      <c r="I535" s="13"/>
      <c r="J535" s="11"/>
      <c r="K535" s="14">
        <f t="shared" si="62"/>
        <v>12681.818181818177</v>
      </c>
      <c r="L535" s="15">
        <v>11.57</v>
      </c>
      <c r="M535" s="15">
        <v>13.95</v>
      </c>
      <c r="N535" s="16">
        <f t="shared" si="58"/>
        <v>115700</v>
      </c>
      <c r="O535" s="17">
        <f t="shared" si="61"/>
        <v>105181.81818181818</v>
      </c>
      <c r="P535" s="18">
        <f t="shared" si="63"/>
        <v>92500</v>
      </c>
    </row>
    <row r="536" spans="1:16" x14ac:dyDescent="0.3">
      <c r="A536" s="7">
        <v>45469</v>
      </c>
      <c r="B536" s="8" t="s">
        <v>43</v>
      </c>
      <c r="C536" s="9"/>
      <c r="D536" s="9">
        <v>11.058</v>
      </c>
      <c r="E536" s="35"/>
      <c r="F536" s="35">
        <v>14000</v>
      </c>
      <c r="G536" s="11" t="s">
        <v>34</v>
      </c>
      <c r="H536" s="12"/>
      <c r="I536" s="13">
        <v>14000</v>
      </c>
      <c r="J536" s="11"/>
      <c r="K536" s="14">
        <f>O536-P536</f>
        <v>5551.6363636363531</v>
      </c>
      <c r="L536" s="15"/>
      <c r="M536" s="15">
        <v>12.6</v>
      </c>
      <c r="N536" s="16">
        <f>(H536*L536+(I536*M536))</f>
        <v>176400</v>
      </c>
      <c r="O536" s="17">
        <f t="shared" si="61"/>
        <v>160363.63636363635</v>
      </c>
      <c r="P536" s="18">
        <f t="shared" si="63"/>
        <v>154812</v>
      </c>
    </row>
    <row r="537" spans="1:16" x14ac:dyDescent="0.3">
      <c r="A537" s="7">
        <v>45469</v>
      </c>
      <c r="B537" s="8" t="s">
        <v>19</v>
      </c>
      <c r="C537" s="9">
        <v>9.25</v>
      </c>
      <c r="D537" s="9"/>
      <c r="E537" s="24">
        <v>3000</v>
      </c>
      <c r="F537" s="24"/>
      <c r="G537" s="11" t="s">
        <v>30</v>
      </c>
      <c r="H537" s="12">
        <v>3000</v>
      </c>
      <c r="I537" s="13"/>
      <c r="J537" s="11"/>
      <c r="K537" s="14">
        <f t="shared" si="62"/>
        <v>1431.8181818181765</v>
      </c>
      <c r="L537" s="15">
        <v>10.7</v>
      </c>
      <c r="M537" s="15"/>
      <c r="N537" s="16">
        <f t="shared" ref="N537:N600" si="64">(H537*L537)+(I537*M537)</f>
        <v>32099.999999999996</v>
      </c>
      <c r="O537" s="17">
        <f t="shared" si="61"/>
        <v>29181.818181818177</v>
      </c>
      <c r="P537" s="18">
        <f t="shared" si="63"/>
        <v>27750</v>
      </c>
    </row>
    <row r="538" spans="1:16" x14ac:dyDescent="0.3">
      <c r="A538" s="7">
        <v>45470</v>
      </c>
      <c r="B538" s="8" t="s">
        <v>39</v>
      </c>
      <c r="C538" s="9">
        <v>9.25</v>
      </c>
      <c r="D538" s="9"/>
      <c r="E538" s="19">
        <v>32000</v>
      </c>
      <c r="F538" s="19"/>
      <c r="G538" s="11" t="s">
        <v>30</v>
      </c>
      <c r="H538" s="12">
        <v>15000</v>
      </c>
      <c r="I538" s="13"/>
      <c r="J538" s="11"/>
      <c r="K538" s="14">
        <f t="shared" si="62"/>
        <v>7159.0909090909117</v>
      </c>
      <c r="L538" s="15">
        <v>10.7</v>
      </c>
      <c r="M538" s="15"/>
      <c r="N538" s="16">
        <f t="shared" si="64"/>
        <v>160500</v>
      </c>
      <c r="O538" s="17">
        <f t="shared" si="61"/>
        <v>145909.09090909091</v>
      </c>
      <c r="P538" s="18">
        <f t="shared" si="63"/>
        <v>138750</v>
      </c>
    </row>
    <row r="539" spans="1:16" hidden="1" x14ac:dyDescent="0.3">
      <c r="A539" s="7">
        <v>45470</v>
      </c>
      <c r="B539" s="8" t="s">
        <v>39</v>
      </c>
      <c r="C539" s="9">
        <v>9.25</v>
      </c>
      <c r="D539" s="9"/>
      <c r="E539" s="19"/>
      <c r="F539" s="19"/>
      <c r="G539" s="11" t="s">
        <v>22</v>
      </c>
      <c r="H539" s="12">
        <v>2000</v>
      </c>
      <c r="I539" s="13"/>
      <c r="J539" s="11"/>
      <c r="K539" s="14">
        <f t="shared" si="62"/>
        <v>-18500</v>
      </c>
      <c r="L539" s="15"/>
      <c r="M539" s="15"/>
      <c r="N539" s="16">
        <f t="shared" si="64"/>
        <v>0</v>
      </c>
      <c r="O539" s="17">
        <f t="shared" si="61"/>
        <v>0</v>
      </c>
      <c r="P539" s="18">
        <f t="shared" si="63"/>
        <v>18500</v>
      </c>
    </row>
    <row r="540" spans="1:16" x14ac:dyDescent="0.3">
      <c r="A540" s="7">
        <v>45470</v>
      </c>
      <c r="B540" s="8" t="s">
        <v>39</v>
      </c>
      <c r="C540" s="9">
        <v>9.25</v>
      </c>
      <c r="D540" s="9"/>
      <c r="E540" s="21"/>
      <c r="F540" s="21"/>
      <c r="G540" s="20" t="s">
        <v>25</v>
      </c>
      <c r="H540" s="12">
        <v>15000</v>
      </c>
      <c r="I540" s="13"/>
      <c r="J540" s="11"/>
      <c r="K540" s="14">
        <f t="shared" si="62"/>
        <v>22159.090909090883</v>
      </c>
      <c r="L540" s="15">
        <v>11.8</v>
      </c>
      <c r="M540" s="15"/>
      <c r="N540" s="16">
        <f t="shared" si="64"/>
        <v>177000</v>
      </c>
      <c r="O540" s="17">
        <f t="shared" si="61"/>
        <v>160909.09090909088</v>
      </c>
      <c r="P540" s="18">
        <f t="shared" si="63"/>
        <v>138750</v>
      </c>
    </row>
    <row r="541" spans="1:16" x14ac:dyDescent="0.3">
      <c r="A541" s="7">
        <v>45470</v>
      </c>
      <c r="B541" s="8" t="s">
        <v>19</v>
      </c>
      <c r="C541" s="9">
        <v>9.58</v>
      </c>
      <c r="D541" s="9">
        <v>11.058</v>
      </c>
      <c r="E541" s="24"/>
      <c r="F541" s="24">
        <v>2000</v>
      </c>
      <c r="G541" s="20" t="s">
        <v>25</v>
      </c>
      <c r="H541" s="12"/>
      <c r="I541" s="13">
        <v>2000</v>
      </c>
      <c r="J541" s="11"/>
      <c r="K541" s="14">
        <f t="shared" si="62"/>
        <v>3520.363636363636</v>
      </c>
      <c r="L541" s="15"/>
      <c r="M541" s="15">
        <v>14.1</v>
      </c>
      <c r="N541" s="16">
        <f t="shared" si="64"/>
        <v>28200</v>
      </c>
      <c r="O541" s="17">
        <f t="shared" si="61"/>
        <v>25636.363636363636</v>
      </c>
      <c r="P541" s="18">
        <f t="shared" si="63"/>
        <v>22116</v>
      </c>
    </row>
    <row r="542" spans="1:16" x14ac:dyDescent="0.3">
      <c r="A542" s="7">
        <v>45470</v>
      </c>
      <c r="B542" s="8" t="s">
        <v>43</v>
      </c>
      <c r="C542" s="9">
        <v>9.58</v>
      </c>
      <c r="D542" s="9">
        <v>11.058</v>
      </c>
      <c r="E542" s="35"/>
      <c r="F542" s="35">
        <v>17000</v>
      </c>
      <c r="G542" s="11" t="s">
        <v>17</v>
      </c>
      <c r="H542" s="12"/>
      <c r="I542" s="13">
        <v>17000</v>
      </c>
      <c r="J542" s="11"/>
      <c r="K542" s="14">
        <f t="shared" si="62"/>
        <v>6741.2727272727061</v>
      </c>
      <c r="L542" s="15"/>
      <c r="M542" s="15">
        <v>12.6</v>
      </c>
      <c r="N542" s="16">
        <f t="shared" si="64"/>
        <v>214200</v>
      </c>
      <c r="O542" s="17">
        <f>N542/1.1</f>
        <v>194727.27272727271</v>
      </c>
      <c r="P542" s="18">
        <f t="shared" si="63"/>
        <v>187986</v>
      </c>
    </row>
    <row r="543" spans="1:16" x14ac:dyDescent="0.3">
      <c r="A543" s="7">
        <v>45471</v>
      </c>
      <c r="B543" s="8" t="s">
        <v>43</v>
      </c>
      <c r="C543" s="9">
        <v>9.58</v>
      </c>
      <c r="D543" s="9">
        <v>11.058</v>
      </c>
      <c r="E543" s="19">
        <v>20000</v>
      </c>
      <c r="F543" s="19">
        <v>45000</v>
      </c>
      <c r="G543" s="11" t="s">
        <v>17</v>
      </c>
      <c r="H543" s="12"/>
      <c r="I543" s="13">
        <v>33000</v>
      </c>
      <c r="J543" s="11"/>
      <c r="K543" s="14">
        <f t="shared" si="62"/>
        <v>13085.999999999942</v>
      </c>
      <c r="L543" s="15"/>
      <c r="M543" s="15">
        <v>12.6</v>
      </c>
      <c r="N543" s="16">
        <f t="shared" si="64"/>
        <v>415800</v>
      </c>
      <c r="O543" s="17">
        <f t="shared" si="61"/>
        <v>377999.99999999994</v>
      </c>
      <c r="P543" s="18">
        <f t="shared" si="63"/>
        <v>364914</v>
      </c>
    </row>
    <row r="544" spans="1:16" x14ac:dyDescent="0.3">
      <c r="A544" s="7">
        <v>45471</v>
      </c>
      <c r="B544" s="8" t="s">
        <v>43</v>
      </c>
      <c r="C544" s="9">
        <v>9.58</v>
      </c>
      <c r="D544" s="9">
        <v>11.058</v>
      </c>
      <c r="E544" s="19"/>
      <c r="F544" s="19"/>
      <c r="G544" s="11" t="s">
        <v>23</v>
      </c>
      <c r="H544" s="12">
        <v>10000</v>
      </c>
      <c r="I544" s="13">
        <v>4000</v>
      </c>
      <c r="J544" s="11"/>
      <c r="K544" s="14">
        <f t="shared" si="62"/>
        <v>15877.090909090883</v>
      </c>
      <c r="L544" s="15">
        <v>11.57</v>
      </c>
      <c r="M544" s="15">
        <v>13.95</v>
      </c>
      <c r="N544" s="16">
        <f t="shared" si="64"/>
        <v>171500</v>
      </c>
      <c r="O544" s="17">
        <f t="shared" si="61"/>
        <v>155909.09090909088</v>
      </c>
      <c r="P544" s="18">
        <f t="shared" si="63"/>
        <v>140032</v>
      </c>
    </row>
    <row r="545" spans="1:16" hidden="1" x14ac:dyDescent="0.3">
      <c r="A545" s="7">
        <v>45471</v>
      </c>
      <c r="B545" s="8" t="s">
        <v>43</v>
      </c>
      <c r="C545" s="9">
        <v>9.58</v>
      </c>
      <c r="D545" s="9">
        <v>11.058</v>
      </c>
      <c r="E545" s="19"/>
      <c r="F545" s="19"/>
      <c r="G545" s="11" t="s">
        <v>22</v>
      </c>
      <c r="H545" s="12">
        <v>10000</v>
      </c>
      <c r="I545" s="13">
        <v>8000</v>
      </c>
      <c r="J545" s="11"/>
      <c r="K545" s="14">
        <f t="shared" si="62"/>
        <v>-184264</v>
      </c>
      <c r="L545" s="15"/>
      <c r="M545" s="15"/>
      <c r="N545" s="16">
        <f t="shared" si="64"/>
        <v>0</v>
      </c>
      <c r="O545" s="17">
        <f t="shared" si="61"/>
        <v>0</v>
      </c>
      <c r="P545" s="18">
        <f t="shared" si="63"/>
        <v>184264</v>
      </c>
    </row>
    <row r="546" spans="1:16" x14ac:dyDescent="0.3">
      <c r="A546" s="7">
        <v>45471</v>
      </c>
      <c r="B546" s="8" t="s">
        <v>39</v>
      </c>
      <c r="C546" s="9">
        <v>9.25</v>
      </c>
      <c r="D546" s="9"/>
      <c r="E546" s="13">
        <v>17000</v>
      </c>
      <c r="F546" s="13"/>
      <c r="G546" s="11" t="s">
        <v>17</v>
      </c>
      <c r="H546" s="12">
        <v>17000</v>
      </c>
      <c r="I546" s="13"/>
      <c r="J546" s="11"/>
      <c r="K546" s="29">
        <f>O546-P546</f>
        <v>386.36363636361784</v>
      </c>
      <c r="L546" s="15">
        <v>10.199999999999999</v>
      </c>
      <c r="M546" s="15"/>
      <c r="N546" s="16">
        <f t="shared" si="64"/>
        <v>173400</v>
      </c>
      <c r="O546" s="17">
        <f t="shared" si="61"/>
        <v>157636.36363636362</v>
      </c>
      <c r="P546" s="18">
        <f t="shared" si="63"/>
        <v>157250</v>
      </c>
    </row>
    <row r="547" spans="1:16" x14ac:dyDescent="0.3">
      <c r="A547" s="7">
        <v>45472</v>
      </c>
      <c r="B547" s="8" t="s">
        <v>39</v>
      </c>
      <c r="C547" s="9">
        <v>9.25</v>
      </c>
      <c r="D547" s="9"/>
      <c r="E547" s="10">
        <v>65000</v>
      </c>
      <c r="F547" s="24"/>
      <c r="G547" s="20" t="s">
        <v>17</v>
      </c>
      <c r="H547" s="12">
        <v>33000</v>
      </c>
      <c r="I547" s="13"/>
      <c r="J547" s="11"/>
      <c r="K547" s="14">
        <f t="shared" si="62"/>
        <v>750</v>
      </c>
      <c r="L547" s="15">
        <v>10.199999999999999</v>
      </c>
      <c r="M547" s="15"/>
      <c r="N547" s="16">
        <f t="shared" si="64"/>
        <v>336600</v>
      </c>
      <c r="O547" s="17">
        <f t="shared" si="61"/>
        <v>306000</v>
      </c>
      <c r="P547" s="18">
        <f t="shared" si="63"/>
        <v>305250</v>
      </c>
    </row>
    <row r="548" spans="1:16" hidden="1" x14ac:dyDescent="0.3">
      <c r="A548" s="7">
        <v>45472</v>
      </c>
      <c r="B548" s="8" t="s">
        <v>39</v>
      </c>
      <c r="C548" s="9">
        <v>9.25</v>
      </c>
      <c r="D548" s="9"/>
      <c r="E548" s="19"/>
      <c r="F548" s="35"/>
      <c r="G548" s="20" t="s">
        <v>22</v>
      </c>
      <c r="H548" s="13">
        <v>4000</v>
      </c>
      <c r="I548" s="13"/>
      <c r="J548" s="11"/>
      <c r="K548" s="14"/>
      <c r="L548" s="15"/>
      <c r="M548" s="15"/>
      <c r="N548" s="16"/>
      <c r="O548" s="17"/>
      <c r="P548" s="18"/>
    </row>
    <row r="549" spans="1:16" x14ac:dyDescent="0.3">
      <c r="A549" s="7">
        <v>45472</v>
      </c>
      <c r="B549" s="8" t="s">
        <v>39</v>
      </c>
      <c r="C549" s="9">
        <v>9.25</v>
      </c>
      <c r="D549" s="9"/>
      <c r="E549" s="19"/>
      <c r="F549" s="35"/>
      <c r="G549" s="11" t="s">
        <v>21</v>
      </c>
      <c r="H549" s="13">
        <v>28000</v>
      </c>
      <c r="I549" s="13"/>
      <c r="J549" s="11"/>
      <c r="K549" s="14">
        <f t="shared" si="62"/>
        <v>37545.45454545453</v>
      </c>
      <c r="L549" s="15">
        <v>11.65</v>
      </c>
      <c r="M549" s="15">
        <v>13.98</v>
      </c>
      <c r="N549" s="16">
        <f t="shared" si="64"/>
        <v>326200</v>
      </c>
      <c r="O549" s="17">
        <f t="shared" si="61"/>
        <v>296545.45454545453</v>
      </c>
      <c r="P549" s="18">
        <f t="shared" si="63"/>
        <v>259000</v>
      </c>
    </row>
    <row r="550" spans="1:16" x14ac:dyDescent="0.3">
      <c r="A550" s="7">
        <v>45472</v>
      </c>
      <c r="B550" s="8" t="s">
        <v>19</v>
      </c>
      <c r="C550" s="9"/>
      <c r="D550" s="9">
        <v>11.058</v>
      </c>
      <c r="E550" s="35"/>
      <c r="F550" s="35">
        <v>4000</v>
      </c>
      <c r="G550" s="11" t="s">
        <v>21</v>
      </c>
      <c r="H550" s="13"/>
      <c r="I550" s="13">
        <v>4000</v>
      </c>
      <c r="J550" s="11"/>
      <c r="K550" s="14">
        <f t="shared" si="62"/>
        <v>6604.3636363636324</v>
      </c>
      <c r="L550" s="15">
        <v>11.65</v>
      </c>
      <c r="M550" s="15">
        <v>13.98</v>
      </c>
      <c r="N550" s="16">
        <f t="shared" si="64"/>
        <v>55920</v>
      </c>
      <c r="O550" s="17">
        <f t="shared" si="61"/>
        <v>50836.363636363632</v>
      </c>
      <c r="P550" s="18">
        <f t="shared" si="63"/>
        <v>44232</v>
      </c>
    </row>
    <row r="551" spans="1:16" x14ac:dyDescent="0.3">
      <c r="A551" s="7">
        <v>45472</v>
      </c>
      <c r="B551" s="8" t="s">
        <v>43</v>
      </c>
      <c r="C551" s="9">
        <v>9.58</v>
      </c>
      <c r="D551" s="9">
        <v>11.058</v>
      </c>
      <c r="E551" s="35">
        <v>31000</v>
      </c>
      <c r="F551" s="35">
        <v>2000</v>
      </c>
      <c r="G551" s="11" t="s">
        <v>27</v>
      </c>
      <c r="H551" s="13">
        <v>31000</v>
      </c>
      <c r="I551" s="13">
        <v>2000</v>
      </c>
      <c r="J551" s="11"/>
      <c r="K551" s="14">
        <f t="shared" si="62"/>
        <v>22894.909090909059</v>
      </c>
      <c r="L551" s="15">
        <v>11.25</v>
      </c>
      <c r="M551" s="15">
        <v>13.72</v>
      </c>
      <c r="N551" s="16">
        <f t="shared" si="64"/>
        <v>376190</v>
      </c>
      <c r="O551" s="17">
        <f t="shared" ref="O551" si="65">N551/1.1</f>
        <v>341990.90909090906</v>
      </c>
      <c r="P551" s="18">
        <f t="shared" si="63"/>
        <v>319096</v>
      </c>
    </row>
    <row r="552" spans="1:16" x14ac:dyDescent="0.3">
      <c r="A552" s="7">
        <v>45476</v>
      </c>
      <c r="B552" s="8" t="s">
        <v>43</v>
      </c>
      <c r="C552" s="9">
        <v>9.4619999999999997</v>
      </c>
      <c r="D552" s="9">
        <v>11.058</v>
      </c>
      <c r="E552" s="36">
        <v>82000</v>
      </c>
      <c r="F552" s="36">
        <v>63000</v>
      </c>
      <c r="G552" s="11" t="s">
        <v>34</v>
      </c>
      <c r="H552" s="12"/>
      <c r="I552" s="13">
        <v>14000</v>
      </c>
      <c r="J552" s="11"/>
      <c r="K552" s="14">
        <f>O552-P552</f>
        <v>7078.9090909090883</v>
      </c>
      <c r="L552" s="15"/>
      <c r="M552" s="15">
        <v>12.72</v>
      </c>
      <c r="N552" s="16">
        <f t="shared" si="64"/>
        <v>178080</v>
      </c>
      <c r="O552" s="17">
        <f>N552/1.1</f>
        <v>161890.90909090909</v>
      </c>
      <c r="P552" s="18">
        <f t="shared" si="63"/>
        <v>154812</v>
      </c>
    </row>
    <row r="553" spans="1:16" x14ac:dyDescent="0.3">
      <c r="A553" s="7">
        <v>45477</v>
      </c>
      <c r="B553" s="8" t="s">
        <v>43</v>
      </c>
      <c r="C553" s="9">
        <v>9.4619999999999997</v>
      </c>
      <c r="D553" s="9">
        <v>11.058</v>
      </c>
      <c r="E553" s="36"/>
      <c r="F553" s="36"/>
      <c r="G553" s="20" t="s">
        <v>17</v>
      </c>
      <c r="H553" s="12">
        <v>33000</v>
      </c>
      <c r="I553" s="13"/>
      <c r="J553" s="11"/>
      <c r="K553" s="14">
        <f>O553-P553</f>
        <v>1254</v>
      </c>
      <c r="L553" s="15">
        <v>10.45</v>
      </c>
      <c r="M553" s="15">
        <v>12.6</v>
      </c>
      <c r="N553" s="16">
        <f t="shared" si="64"/>
        <v>344850</v>
      </c>
      <c r="O553" s="17">
        <f t="shared" ref="O553:O620" si="66">N553/1.1</f>
        <v>313500</v>
      </c>
      <c r="P553" s="18">
        <f t="shared" si="63"/>
        <v>312246</v>
      </c>
    </row>
    <row r="554" spans="1:16" x14ac:dyDescent="0.3">
      <c r="A554" s="7">
        <v>45476</v>
      </c>
      <c r="B554" s="8" t="s">
        <v>43</v>
      </c>
      <c r="C554" s="9">
        <v>9.4619999999999997</v>
      </c>
      <c r="D554" s="9">
        <v>11.058</v>
      </c>
      <c r="E554" s="36"/>
      <c r="F554" s="36"/>
      <c r="G554" s="20" t="s">
        <v>17</v>
      </c>
      <c r="H554" s="12"/>
      <c r="I554" s="13">
        <v>33000</v>
      </c>
      <c r="J554" s="11"/>
      <c r="K554" s="14">
        <f t="shared" ref="K554:K621" si="67">O554-P554</f>
        <v>13085.999999999942</v>
      </c>
      <c r="L554" s="15">
        <v>10.45</v>
      </c>
      <c r="M554" s="15">
        <v>12.6</v>
      </c>
      <c r="N554" s="16">
        <f t="shared" si="64"/>
        <v>415800</v>
      </c>
      <c r="O554" s="17">
        <f t="shared" si="66"/>
        <v>377999.99999999994</v>
      </c>
      <c r="P554" s="18">
        <f t="shared" si="63"/>
        <v>364914</v>
      </c>
    </row>
    <row r="555" spans="1:16" x14ac:dyDescent="0.3">
      <c r="A555" s="7">
        <v>45476</v>
      </c>
      <c r="B555" s="8" t="s">
        <v>43</v>
      </c>
      <c r="C555" s="9">
        <v>9.4619999999999997</v>
      </c>
      <c r="D555" s="9">
        <v>11.058</v>
      </c>
      <c r="E555" s="36"/>
      <c r="F555" s="36"/>
      <c r="G555" s="20" t="s">
        <v>26</v>
      </c>
      <c r="H555" s="12">
        <v>27000</v>
      </c>
      <c r="I555" s="12">
        <v>6000</v>
      </c>
      <c r="J555" s="11"/>
      <c r="K555" s="14">
        <f t="shared" si="67"/>
        <v>54814.363636363589</v>
      </c>
      <c r="L555" s="15">
        <v>12.18</v>
      </c>
      <c r="M555" s="15">
        <v>14.24</v>
      </c>
      <c r="N555" s="16">
        <f t="shared" si="64"/>
        <v>414300</v>
      </c>
      <c r="O555" s="17">
        <f t="shared" si="66"/>
        <v>376636.36363636359</v>
      </c>
      <c r="P555" s="18">
        <f t="shared" si="63"/>
        <v>321822</v>
      </c>
    </row>
    <row r="556" spans="1:16" x14ac:dyDescent="0.3">
      <c r="A556" s="7">
        <v>45476</v>
      </c>
      <c r="B556" s="8" t="s">
        <v>43</v>
      </c>
      <c r="C556" s="9">
        <v>9.4619999999999997</v>
      </c>
      <c r="D556" s="9">
        <v>11.058</v>
      </c>
      <c r="E556" s="36"/>
      <c r="F556" s="36"/>
      <c r="G556" s="11" t="s">
        <v>28</v>
      </c>
      <c r="H556" s="12">
        <v>10000</v>
      </c>
      <c r="I556" s="12">
        <v>10000</v>
      </c>
      <c r="J556" s="11"/>
      <c r="K556" s="14">
        <f t="shared" si="67"/>
        <v>31254.545454545441</v>
      </c>
      <c r="L556" s="15">
        <v>11.96</v>
      </c>
      <c r="M556" s="15">
        <v>14.05</v>
      </c>
      <c r="N556" s="16">
        <f t="shared" si="64"/>
        <v>260100</v>
      </c>
      <c r="O556" s="17">
        <f>N556/1.1</f>
        <v>236454.54545454544</v>
      </c>
      <c r="P556" s="18">
        <f t="shared" si="63"/>
        <v>205200</v>
      </c>
    </row>
    <row r="557" spans="1:16" x14ac:dyDescent="0.3">
      <c r="A557" s="7">
        <v>45476</v>
      </c>
      <c r="B557" s="8" t="s">
        <v>43</v>
      </c>
      <c r="C557" s="9">
        <v>9.4619999999999997</v>
      </c>
      <c r="D557" s="9">
        <v>11.058</v>
      </c>
      <c r="E557" s="36"/>
      <c r="F557" s="36"/>
      <c r="G557" s="11" t="s">
        <v>30</v>
      </c>
      <c r="H557" s="12">
        <v>12000</v>
      </c>
      <c r="I557" s="12"/>
      <c r="J557" s="11"/>
      <c r="K557" s="14">
        <f t="shared" si="67"/>
        <v>5365.0909090908972</v>
      </c>
      <c r="L557" s="15">
        <v>10.9</v>
      </c>
      <c r="M557" s="15"/>
      <c r="N557" s="16">
        <f t="shared" si="64"/>
        <v>130800</v>
      </c>
      <c r="O557" s="17">
        <f t="shared" si="66"/>
        <v>118909.0909090909</v>
      </c>
      <c r="P557" s="18">
        <f t="shared" si="63"/>
        <v>113544</v>
      </c>
    </row>
    <row r="558" spans="1:16" x14ac:dyDescent="0.3">
      <c r="A558" s="7">
        <v>45476</v>
      </c>
      <c r="B558" s="8" t="s">
        <v>19</v>
      </c>
      <c r="C558" s="9">
        <v>9.25</v>
      </c>
      <c r="D558" s="9"/>
      <c r="E558" s="13">
        <v>5000</v>
      </c>
      <c r="F558" s="13"/>
      <c r="G558" s="11" t="s">
        <v>30</v>
      </c>
      <c r="H558" s="12">
        <v>5000</v>
      </c>
      <c r="I558" s="12"/>
      <c r="J558" s="11"/>
      <c r="K558" s="14">
        <f t="shared" si="67"/>
        <v>3295.4545454545441</v>
      </c>
      <c r="L558" s="15">
        <v>10.9</v>
      </c>
      <c r="M558" s="15"/>
      <c r="N558" s="16">
        <f t="shared" si="64"/>
        <v>54500</v>
      </c>
      <c r="O558" s="17">
        <f t="shared" si="66"/>
        <v>49545.454545454544</v>
      </c>
      <c r="P558" s="18">
        <f t="shared" si="63"/>
        <v>46250</v>
      </c>
    </row>
    <row r="559" spans="1:16" x14ac:dyDescent="0.3">
      <c r="A559" s="7">
        <v>45476</v>
      </c>
      <c r="B559" s="8" t="s">
        <v>19</v>
      </c>
      <c r="C559" s="9">
        <v>9.25</v>
      </c>
      <c r="D559" s="9">
        <v>11.058</v>
      </c>
      <c r="E559" s="24">
        <v>10000</v>
      </c>
      <c r="F559" s="24">
        <v>4000</v>
      </c>
      <c r="G559" s="20" t="s">
        <v>23</v>
      </c>
      <c r="H559" s="12">
        <v>10000</v>
      </c>
      <c r="I559" s="12">
        <v>4000</v>
      </c>
      <c r="J559" s="11"/>
      <c r="K559" s="14">
        <f t="shared" si="67"/>
        <v>22486.181818181794</v>
      </c>
      <c r="L559" s="15">
        <v>11.87</v>
      </c>
      <c r="M559" s="15">
        <v>14.11</v>
      </c>
      <c r="N559" s="16">
        <f t="shared" si="64"/>
        <v>175140</v>
      </c>
      <c r="O559" s="17">
        <f t="shared" si="66"/>
        <v>159218.18181818179</v>
      </c>
      <c r="P559" s="18">
        <f t="shared" si="63"/>
        <v>136732</v>
      </c>
    </row>
    <row r="560" spans="1:16" x14ac:dyDescent="0.3">
      <c r="A560" s="7">
        <v>45477</v>
      </c>
      <c r="B560" s="8" t="s">
        <v>43</v>
      </c>
      <c r="C560" s="9">
        <v>9.4619999999999997</v>
      </c>
      <c r="D560" s="9">
        <v>11.058</v>
      </c>
      <c r="E560" s="12">
        <v>18000</v>
      </c>
      <c r="F560" s="12">
        <v>15000</v>
      </c>
      <c r="G560" s="20" t="s">
        <v>32</v>
      </c>
      <c r="H560" s="12">
        <v>18000</v>
      </c>
      <c r="I560" s="13">
        <v>15000</v>
      </c>
      <c r="J560" s="11"/>
      <c r="K560" s="14">
        <f t="shared" si="67"/>
        <v>8677.6363636363531</v>
      </c>
      <c r="L560" s="15">
        <v>10.45</v>
      </c>
      <c r="M560" s="15">
        <v>12.75</v>
      </c>
      <c r="N560" s="16">
        <f t="shared" si="64"/>
        <v>379350</v>
      </c>
      <c r="O560" s="17">
        <f t="shared" si="66"/>
        <v>344863.63636363635</v>
      </c>
      <c r="P560" s="18">
        <f t="shared" si="63"/>
        <v>336186</v>
      </c>
    </row>
    <row r="561" spans="1:16" x14ac:dyDescent="0.3">
      <c r="A561" s="7">
        <v>45478</v>
      </c>
      <c r="B561" s="8" t="s">
        <v>43</v>
      </c>
      <c r="C561" s="9">
        <v>9.4619999999999997</v>
      </c>
      <c r="D561" s="9">
        <v>11.058</v>
      </c>
      <c r="E561" s="36">
        <v>65000</v>
      </c>
      <c r="F561" s="36">
        <v>47000</v>
      </c>
      <c r="G561" s="20" t="s">
        <v>32</v>
      </c>
      <c r="H561" s="12">
        <v>28000</v>
      </c>
      <c r="I561" s="12">
        <v>5000</v>
      </c>
      <c r="J561" s="11"/>
      <c r="K561" s="14">
        <f t="shared" si="67"/>
        <v>3728.5454545454122</v>
      </c>
      <c r="L561" s="15">
        <v>10.45</v>
      </c>
      <c r="M561" s="15">
        <v>12.75</v>
      </c>
      <c r="N561" s="16">
        <f t="shared" si="64"/>
        <v>356350</v>
      </c>
      <c r="O561" s="17">
        <f t="shared" si="66"/>
        <v>323954.54545454541</v>
      </c>
      <c r="P561" s="18">
        <f t="shared" si="63"/>
        <v>320226</v>
      </c>
    </row>
    <row r="562" spans="1:16" x14ac:dyDescent="0.3">
      <c r="A562" s="7">
        <v>45478</v>
      </c>
      <c r="B562" s="8" t="s">
        <v>43</v>
      </c>
      <c r="C562" s="9">
        <v>9.4619999999999997</v>
      </c>
      <c r="D562" s="9">
        <v>11.058</v>
      </c>
      <c r="E562" s="36"/>
      <c r="F562" s="36"/>
      <c r="G562" s="20" t="s">
        <v>17</v>
      </c>
      <c r="H562" s="12">
        <v>13000</v>
      </c>
      <c r="I562" s="13">
        <v>20000</v>
      </c>
      <c r="J562" s="11"/>
      <c r="K562" s="14">
        <f t="shared" si="67"/>
        <v>8424.9090909090592</v>
      </c>
      <c r="L562" s="15">
        <v>10.45</v>
      </c>
      <c r="M562" s="15">
        <v>12.6</v>
      </c>
      <c r="N562" s="16">
        <f t="shared" si="64"/>
        <v>387850</v>
      </c>
      <c r="O562" s="17">
        <f t="shared" si="66"/>
        <v>352590.90909090906</v>
      </c>
      <c r="P562" s="18">
        <f t="shared" si="63"/>
        <v>344166</v>
      </c>
    </row>
    <row r="563" spans="1:16" x14ac:dyDescent="0.3">
      <c r="A563" s="7">
        <v>45478</v>
      </c>
      <c r="B563" s="8" t="s">
        <v>43</v>
      </c>
      <c r="C563" s="9">
        <v>9.4619999999999997</v>
      </c>
      <c r="D563" s="9">
        <v>11.058</v>
      </c>
      <c r="E563" s="36"/>
      <c r="F563" s="36"/>
      <c r="G563" s="11" t="s">
        <v>36</v>
      </c>
      <c r="H563" s="12">
        <v>5000</v>
      </c>
      <c r="I563" s="13">
        <v>6000</v>
      </c>
      <c r="J563" s="11"/>
      <c r="K563" s="14">
        <f t="shared" si="67"/>
        <v>15941.999999999985</v>
      </c>
      <c r="L563" s="15">
        <v>11.88</v>
      </c>
      <c r="M563" s="15">
        <v>13.86</v>
      </c>
      <c r="N563" s="16">
        <f t="shared" si="64"/>
        <v>142560</v>
      </c>
      <c r="O563" s="17">
        <f t="shared" si="66"/>
        <v>129599.99999999999</v>
      </c>
      <c r="P563" s="18">
        <f t="shared" si="63"/>
        <v>113658</v>
      </c>
    </row>
    <row r="564" spans="1:16" x14ac:dyDescent="0.3">
      <c r="A564" s="7">
        <v>45478</v>
      </c>
      <c r="B564" s="8" t="s">
        <v>43</v>
      </c>
      <c r="C564" s="9">
        <v>9.4619999999999997</v>
      </c>
      <c r="D564" s="9">
        <v>11.058</v>
      </c>
      <c r="E564" s="36"/>
      <c r="F564" s="36"/>
      <c r="G564" s="11" t="s">
        <v>29</v>
      </c>
      <c r="H564" s="12">
        <v>19000</v>
      </c>
      <c r="I564" s="13">
        <v>2000</v>
      </c>
      <c r="J564" s="11"/>
      <c r="K564" s="14">
        <f t="shared" si="67"/>
        <v>29633.272727272706</v>
      </c>
      <c r="L564" s="15">
        <v>11.92</v>
      </c>
      <c r="M564" s="15">
        <v>14.1</v>
      </c>
      <c r="N564" s="16">
        <f t="shared" si="64"/>
        <v>254680</v>
      </c>
      <c r="O564" s="17">
        <f t="shared" si="66"/>
        <v>231527.27272727271</v>
      </c>
      <c r="P564" s="18">
        <f t="shared" si="63"/>
        <v>201894</v>
      </c>
    </row>
    <row r="565" spans="1:16" x14ac:dyDescent="0.3">
      <c r="A565" s="7">
        <v>45479</v>
      </c>
      <c r="B565" s="8" t="s">
        <v>43</v>
      </c>
      <c r="C565" s="9">
        <v>9.4619999999999997</v>
      </c>
      <c r="D565" s="9">
        <v>11.058</v>
      </c>
      <c r="E565" s="36"/>
      <c r="F565" s="36"/>
      <c r="G565" s="11" t="s">
        <v>34</v>
      </c>
      <c r="H565" s="12"/>
      <c r="I565" s="13">
        <v>14000</v>
      </c>
      <c r="J565" s="11"/>
      <c r="K565" s="14">
        <f t="shared" si="67"/>
        <v>7078.9090909090883</v>
      </c>
      <c r="L565" s="15"/>
      <c r="M565" s="15">
        <v>12.72</v>
      </c>
      <c r="N565" s="16">
        <f t="shared" si="64"/>
        <v>178080</v>
      </c>
      <c r="O565" s="17">
        <f t="shared" si="66"/>
        <v>161890.90909090909</v>
      </c>
      <c r="P565" s="18">
        <f t="shared" si="63"/>
        <v>154812</v>
      </c>
    </row>
    <row r="566" spans="1:16" x14ac:dyDescent="0.3">
      <c r="A566" s="7">
        <v>45479</v>
      </c>
      <c r="B566" s="8" t="s">
        <v>43</v>
      </c>
      <c r="C566" s="9">
        <v>9.4619999999999997</v>
      </c>
      <c r="D566" s="9">
        <v>11.058</v>
      </c>
      <c r="E566" s="36">
        <v>106000</v>
      </c>
      <c r="F566" s="36">
        <v>41000</v>
      </c>
      <c r="G566" s="20" t="s">
        <v>25</v>
      </c>
      <c r="H566" s="12">
        <v>10000</v>
      </c>
      <c r="I566" s="13">
        <v>7000</v>
      </c>
      <c r="J566" s="11"/>
      <c r="K566" s="14">
        <f t="shared" si="67"/>
        <v>28719.45454545453</v>
      </c>
      <c r="L566" s="15">
        <v>12.1</v>
      </c>
      <c r="M566" s="15">
        <v>14.26</v>
      </c>
      <c r="N566" s="16">
        <f t="shared" si="64"/>
        <v>220820</v>
      </c>
      <c r="O566" s="17">
        <f t="shared" si="66"/>
        <v>200745.45454545453</v>
      </c>
      <c r="P566" s="18">
        <f t="shared" si="63"/>
        <v>172026</v>
      </c>
    </row>
    <row r="567" spans="1:16" x14ac:dyDescent="0.3">
      <c r="A567" s="7">
        <v>45479</v>
      </c>
      <c r="B567" s="8" t="s">
        <v>43</v>
      </c>
      <c r="C567" s="9">
        <v>9.4619999999999997</v>
      </c>
      <c r="D567" s="9">
        <v>11.058</v>
      </c>
      <c r="E567" s="36"/>
      <c r="F567" s="36"/>
      <c r="G567" s="20" t="s">
        <v>23</v>
      </c>
      <c r="H567" s="12">
        <v>10000</v>
      </c>
      <c r="I567" s="13">
        <v>7000</v>
      </c>
      <c r="J567" s="11"/>
      <c r="K567" s="14">
        <f t="shared" si="67"/>
        <v>25673.999999999971</v>
      </c>
      <c r="L567" s="15">
        <v>11.87</v>
      </c>
      <c r="M567" s="15">
        <v>14.11</v>
      </c>
      <c r="N567" s="16">
        <f t="shared" si="64"/>
        <v>217470</v>
      </c>
      <c r="O567" s="17">
        <f t="shared" si="66"/>
        <v>197699.99999999997</v>
      </c>
      <c r="P567" s="18">
        <f t="shared" si="63"/>
        <v>172026</v>
      </c>
    </row>
    <row r="568" spans="1:16" hidden="1" x14ac:dyDescent="0.3">
      <c r="A568" s="7">
        <v>45479</v>
      </c>
      <c r="B568" s="8" t="s">
        <v>43</v>
      </c>
      <c r="C568" s="9">
        <v>9.4619999999999997</v>
      </c>
      <c r="D568" s="9">
        <v>11.058</v>
      </c>
      <c r="E568" s="36"/>
      <c r="F568" s="36"/>
      <c r="G568" s="20" t="s">
        <v>22</v>
      </c>
      <c r="H568" s="12">
        <v>6000</v>
      </c>
      <c r="I568" s="13">
        <v>10000</v>
      </c>
      <c r="J568" s="11"/>
      <c r="K568" s="14">
        <f t="shared" si="67"/>
        <v>-167352</v>
      </c>
      <c r="L568" s="15"/>
      <c r="M568" s="15"/>
      <c r="N568" s="16">
        <f t="shared" si="64"/>
        <v>0</v>
      </c>
      <c r="O568" s="17">
        <f t="shared" si="66"/>
        <v>0</v>
      </c>
      <c r="P568" s="18">
        <f t="shared" si="63"/>
        <v>167352</v>
      </c>
    </row>
    <row r="569" spans="1:16" x14ac:dyDescent="0.3">
      <c r="A569" s="7">
        <v>45479</v>
      </c>
      <c r="B569" s="8" t="s">
        <v>43</v>
      </c>
      <c r="C569" s="9">
        <v>9.4619999999999997</v>
      </c>
      <c r="D569" s="9">
        <v>11.058</v>
      </c>
      <c r="E569" s="36"/>
      <c r="F569" s="36"/>
      <c r="G569" s="20" t="s">
        <v>32</v>
      </c>
      <c r="H569" s="12">
        <v>27000</v>
      </c>
      <c r="I569" s="13">
        <v>6000</v>
      </c>
      <c r="J569" s="11"/>
      <c r="K569" s="14">
        <f t="shared" si="67"/>
        <v>4223.4545454545296</v>
      </c>
      <c r="L569" s="15">
        <v>10.45</v>
      </c>
      <c r="M569" s="15">
        <v>12.75</v>
      </c>
      <c r="N569" s="16">
        <f t="shared" si="64"/>
        <v>358650</v>
      </c>
      <c r="O569" s="17">
        <f t="shared" si="66"/>
        <v>326045.45454545453</v>
      </c>
      <c r="P569" s="18">
        <f t="shared" si="63"/>
        <v>321822</v>
      </c>
    </row>
    <row r="570" spans="1:16" x14ac:dyDescent="0.3">
      <c r="A570" s="7">
        <v>45479</v>
      </c>
      <c r="B570" s="8" t="s">
        <v>43</v>
      </c>
      <c r="C570" s="9">
        <v>9.4619999999999997</v>
      </c>
      <c r="D570" s="9">
        <v>11.058</v>
      </c>
      <c r="E570" s="36"/>
      <c r="F570" s="36"/>
      <c r="G570" s="20" t="s">
        <v>32</v>
      </c>
      <c r="H570" s="12">
        <v>25000</v>
      </c>
      <c r="I570" s="13">
        <v>6000</v>
      </c>
      <c r="J570" s="11"/>
      <c r="K570" s="14">
        <f t="shared" si="67"/>
        <v>4147.4545454545296</v>
      </c>
      <c r="L570" s="15">
        <v>10.45</v>
      </c>
      <c r="M570" s="15">
        <v>12.75</v>
      </c>
      <c r="N570" s="16">
        <f t="shared" si="64"/>
        <v>337750</v>
      </c>
      <c r="O570" s="17">
        <f t="shared" si="66"/>
        <v>307045.45454545453</v>
      </c>
      <c r="P570" s="18">
        <f t="shared" si="63"/>
        <v>302898</v>
      </c>
    </row>
    <row r="571" spans="1:16" x14ac:dyDescent="0.3">
      <c r="A571" s="7">
        <v>45479</v>
      </c>
      <c r="B571" s="8" t="s">
        <v>43</v>
      </c>
      <c r="C571" s="9">
        <v>9.4619999999999997</v>
      </c>
      <c r="D571" s="9">
        <v>11.058</v>
      </c>
      <c r="E571" s="36"/>
      <c r="F571" s="36"/>
      <c r="G571" s="20" t="s">
        <v>32</v>
      </c>
      <c r="H571" s="12">
        <v>28000</v>
      </c>
      <c r="I571" s="13">
        <v>5000</v>
      </c>
      <c r="J571" s="11"/>
      <c r="K571" s="14">
        <f t="shared" si="67"/>
        <v>3728.5454545454122</v>
      </c>
      <c r="L571" s="15">
        <v>10.45</v>
      </c>
      <c r="M571" s="15">
        <v>12.75</v>
      </c>
      <c r="N571" s="16">
        <f t="shared" si="64"/>
        <v>356350</v>
      </c>
      <c r="O571" s="17">
        <f t="shared" si="66"/>
        <v>323954.54545454541</v>
      </c>
      <c r="P571" s="18">
        <f t="shared" si="63"/>
        <v>320226</v>
      </c>
    </row>
    <row r="572" spans="1:16" x14ac:dyDescent="0.3">
      <c r="A572" s="7">
        <v>45481</v>
      </c>
      <c r="B572" s="8" t="s">
        <v>19</v>
      </c>
      <c r="C572" s="9">
        <v>9.4619999999999997</v>
      </c>
      <c r="D572" s="9"/>
      <c r="E572" s="13">
        <v>10000</v>
      </c>
      <c r="F572" s="13"/>
      <c r="G572" s="11" t="s">
        <v>30</v>
      </c>
      <c r="H572" s="12">
        <v>10000</v>
      </c>
      <c r="I572" s="13"/>
      <c r="J572" s="11"/>
      <c r="K572" s="14">
        <f t="shared" si="67"/>
        <v>4470.9090909090883</v>
      </c>
      <c r="L572" s="15">
        <v>10.9</v>
      </c>
      <c r="M572" s="15"/>
      <c r="N572" s="16">
        <f t="shared" si="64"/>
        <v>109000</v>
      </c>
      <c r="O572" s="17">
        <f t="shared" si="66"/>
        <v>99090.909090909088</v>
      </c>
      <c r="P572" s="18">
        <f t="shared" si="63"/>
        <v>94620</v>
      </c>
    </row>
    <row r="573" spans="1:16" x14ac:dyDescent="0.3">
      <c r="A573" s="7">
        <v>45481</v>
      </c>
      <c r="B573" s="8" t="s">
        <v>19</v>
      </c>
      <c r="C573" s="9">
        <v>9.4619999999999997</v>
      </c>
      <c r="D573" s="9">
        <v>11.058</v>
      </c>
      <c r="E573" s="24"/>
      <c r="F573" s="24">
        <v>3000</v>
      </c>
      <c r="G573" s="20" t="s">
        <v>17</v>
      </c>
      <c r="H573" s="12"/>
      <c r="I573" s="13">
        <v>3000</v>
      </c>
      <c r="J573" s="11"/>
      <c r="K573" s="14">
        <f t="shared" si="67"/>
        <v>1189.6363636363603</v>
      </c>
      <c r="L573" s="15"/>
      <c r="M573" s="15">
        <v>12.6</v>
      </c>
      <c r="N573" s="16">
        <f t="shared" si="64"/>
        <v>37800</v>
      </c>
      <c r="O573" s="17">
        <f t="shared" si="66"/>
        <v>34363.63636363636</v>
      </c>
      <c r="P573" s="18">
        <f t="shared" si="63"/>
        <v>33174</v>
      </c>
    </row>
    <row r="574" spans="1:16" hidden="1" x14ac:dyDescent="0.3">
      <c r="A574" s="7">
        <v>45481</v>
      </c>
      <c r="B574" s="8" t="s">
        <v>45</v>
      </c>
      <c r="C574" s="9">
        <f>10.55/1.1</f>
        <v>9.5909090909090899</v>
      </c>
      <c r="D574" s="9"/>
      <c r="E574" s="36">
        <v>33000</v>
      </c>
      <c r="F574" s="12"/>
      <c r="G574" s="20" t="s">
        <v>22</v>
      </c>
      <c r="H574" s="12">
        <v>6000</v>
      </c>
      <c r="I574" s="12"/>
      <c r="J574" s="11"/>
      <c r="K574" s="14">
        <f t="shared" si="67"/>
        <v>-57545.454545454537</v>
      </c>
      <c r="L574" s="15"/>
      <c r="M574" s="15"/>
      <c r="N574" s="16">
        <f t="shared" si="64"/>
        <v>0</v>
      </c>
      <c r="O574" s="17">
        <f t="shared" si="66"/>
        <v>0</v>
      </c>
      <c r="P574" s="18">
        <f t="shared" si="63"/>
        <v>57545.454545454537</v>
      </c>
    </row>
    <row r="575" spans="1:16" x14ac:dyDescent="0.3">
      <c r="A575" s="7">
        <v>45481</v>
      </c>
      <c r="B575" s="8" t="s">
        <v>45</v>
      </c>
      <c r="C575" s="9">
        <f>10.55/1.1</f>
        <v>9.5909090909090899</v>
      </c>
      <c r="D575" s="9"/>
      <c r="E575" s="36"/>
      <c r="F575" s="12"/>
      <c r="G575" s="20" t="s">
        <v>27</v>
      </c>
      <c r="H575" s="12">
        <v>27000</v>
      </c>
      <c r="I575" s="12"/>
      <c r="J575" s="11"/>
      <c r="K575" s="14">
        <f t="shared" si="67"/>
        <v>24545.454545454559</v>
      </c>
      <c r="L575" s="15">
        <v>11.55</v>
      </c>
      <c r="M575" s="15">
        <v>13.88</v>
      </c>
      <c r="N575" s="16">
        <f t="shared" si="64"/>
        <v>311850</v>
      </c>
      <c r="O575" s="17">
        <f t="shared" si="66"/>
        <v>283500</v>
      </c>
      <c r="P575" s="18">
        <f t="shared" si="63"/>
        <v>258954.54545454544</v>
      </c>
    </row>
    <row r="576" spans="1:16" x14ac:dyDescent="0.3">
      <c r="A576" s="7">
        <v>45481</v>
      </c>
      <c r="B576" s="8" t="s">
        <v>19</v>
      </c>
      <c r="C576" s="9">
        <v>9.4619999999999997</v>
      </c>
      <c r="D576" s="9">
        <v>11.058</v>
      </c>
      <c r="E576" s="35"/>
      <c r="F576" s="35">
        <v>6000</v>
      </c>
      <c r="G576" s="20" t="s">
        <v>27</v>
      </c>
      <c r="H576" s="12"/>
      <c r="I576" s="13">
        <v>6000</v>
      </c>
      <c r="J576" s="31">
        <v>295745.45</v>
      </c>
      <c r="K576" s="14">
        <f t="shared" si="67"/>
        <v>9361.0909090908972</v>
      </c>
      <c r="L576" s="14"/>
      <c r="M576" s="15">
        <v>13.88</v>
      </c>
      <c r="N576" s="16">
        <f>(H576*L576)+(I576*M576)</f>
        <v>83280</v>
      </c>
      <c r="O576" s="17">
        <f t="shared" si="66"/>
        <v>75709.090909090897</v>
      </c>
      <c r="P576" s="18">
        <f t="shared" si="63"/>
        <v>66348</v>
      </c>
    </row>
    <row r="577" spans="1:16" x14ac:dyDescent="0.3">
      <c r="A577" s="7">
        <v>45482</v>
      </c>
      <c r="B577" s="8" t="s">
        <v>43</v>
      </c>
      <c r="C577" s="9">
        <v>9.4619999999999997</v>
      </c>
      <c r="D577" s="9">
        <v>11.058</v>
      </c>
      <c r="E577" s="12">
        <v>17000</v>
      </c>
      <c r="F577" s="12"/>
      <c r="G577" s="20" t="s">
        <v>17</v>
      </c>
      <c r="H577" s="12">
        <v>17000</v>
      </c>
      <c r="I577" s="13"/>
      <c r="J577" s="31">
        <v>92727.27</v>
      </c>
      <c r="K577" s="14">
        <f t="shared" si="67"/>
        <v>646</v>
      </c>
      <c r="L577" s="14">
        <v>10.45</v>
      </c>
      <c r="M577" s="15"/>
      <c r="N577" s="16">
        <f>(H577*L577)+(I577*M577)</f>
        <v>177650</v>
      </c>
      <c r="O577" s="17">
        <f t="shared" si="66"/>
        <v>161500</v>
      </c>
      <c r="P577" s="18">
        <f t="shared" si="63"/>
        <v>160854</v>
      </c>
    </row>
    <row r="578" spans="1:16" x14ac:dyDescent="0.3">
      <c r="A578" s="7">
        <v>45482</v>
      </c>
      <c r="B578" s="8" t="s">
        <v>39</v>
      </c>
      <c r="C578" s="9">
        <v>9.44</v>
      </c>
      <c r="D578" s="9">
        <v>11.057</v>
      </c>
      <c r="E578" s="36">
        <v>53000</v>
      </c>
      <c r="F578" s="36">
        <v>12000</v>
      </c>
      <c r="G578" s="20" t="s">
        <v>31</v>
      </c>
      <c r="H578" s="12">
        <v>32000</v>
      </c>
      <c r="I578" s="13"/>
      <c r="J578" s="31">
        <v>-38472.730000000003</v>
      </c>
      <c r="K578" s="14">
        <f t="shared" si="67"/>
        <v>37701.818181818177</v>
      </c>
      <c r="L578" s="15">
        <v>11.68</v>
      </c>
      <c r="M578" s="15"/>
      <c r="N578" s="16">
        <f t="shared" si="64"/>
        <v>373760</v>
      </c>
      <c r="O578" s="17">
        <f t="shared" si="66"/>
        <v>339781.81818181818</v>
      </c>
      <c r="P578" s="18">
        <f t="shared" si="63"/>
        <v>302080</v>
      </c>
    </row>
    <row r="579" spans="1:16" x14ac:dyDescent="0.3">
      <c r="A579" s="7">
        <v>45482</v>
      </c>
      <c r="B579" s="8" t="s">
        <v>39</v>
      </c>
      <c r="C579" s="9">
        <v>9.44</v>
      </c>
      <c r="D579" s="9">
        <v>11.057</v>
      </c>
      <c r="E579" s="36"/>
      <c r="F579" s="36"/>
      <c r="G579" s="20" t="s">
        <v>17</v>
      </c>
      <c r="H579" s="12">
        <v>19000</v>
      </c>
      <c r="I579" s="13"/>
      <c r="J579" s="31">
        <v>32427.27</v>
      </c>
      <c r="K579" s="14">
        <f t="shared" si="67"/>
        <v>1139.9999999999709</v>
      </c>
      <c r="L579" s="15">
        <v>10.45</v>
      </c>
      <c r="M579" s="15"/>
      <c r="N579" s="16">
        <f t="shared" si="64"/>
        <v>198550</v>
      </c>
      <c r="O579" s="17">
        <f t="shared" si="66"/>
        <v>180499.99999999997</v>
      </c>
      <c r="P579" s="18">
        <f t="shared" si="63"/>
        <v>179360</v>
      </c>
    </row>
    <row r="580" spans="1:16" hidden="1" x14ac:dyDescent="0.3">
      <c r="A580" s="7">
        <v>45482</v>
      </c>
      <c r="B580" s="8" t="s">
        <v>39</v>
      </c>
      <c r="C580" s="9">
        <v>9.44</v>
      </c>
      <c r="D580" s="9">
        <v>11.057</v>
      </c>
      <c r="E580" s="36"/>
      <c r="F580" s="36"/>
      <c r="G580" s="20" t="s">
        <v>22</v>
      </c>
      <c r="H580" s="12">
        <v>2000</v>
      </c>
      <c r="I580" s="13">
        <v>12000</v>
      </c>
      <c r="J580" s="31">
        <v>4502.55</v>
      </c>
      <c r="K580" s="14">
        <f t="shared" si="67"/>
        <v>-151564</v>
      </c>
      <c r="L580" s="15"/>
      <c r="M580" s="15"/>
      <c r="N580" s="16">
        <f t="shared" si="64"/>
        <v>0</v>
      </c>
      <c r="O580" s="17">
        <f t="shared" si="66"/>
        <v>0</v>
      </c>
      <c r="P580" s="18">
        <f t="shared" si="63"/>
        <v>151564</v>
      </c>
    </row>
    <row r="581" spans="1:16" x14ac:dyDescent="0.3">
      <c r="A581" s="7">
        <v>45483</v>
      </c>
      <c r="B581" s="8" t="s">
        <v>39</v>
      </c>
      <c r="C581" s="9">
        <v>9.44</v>
      </c>
      <c r="D581" s="9">
        <v>11.057</v>
      </c>
      <c r="E581" s="36">
        <v>30000</v>
      </c>
      <c r="F581" s="36">
        <v>20000</v>
      </c>
      <c r="G581" s="20" t="s">
        <v>33</v>
      </c>
      <c r="H581" s="12">
        <v>13000</v>
      </c>
      <c r="I581" s="13">
        <v>20000</v>
      </c>
      <c r="J581" s="11"/>
      <c r="K581" s="14">
        <f t="shared" si="67"/>
        <v>5767.2727272727061</v>
      </c>
      <c r="L581" s="15">
        <v>10.43</v>
      </c>
      <c r="M581" s="15">
        <v>12.45</v>
      </c>
      <c r="N581" s="16">
        <f t="shared" si="64"/>
        <v>384590</v>
      </c>
      <c r="O581" s="17">
        <f t="shared" si="66"/>
        <v>349627.27272727271</v>
      </c>
      <c r="P581" s="18">
        <f t="shared" si="63"/>
        <v>343860</v>
      </c>
    </row>
    <row r="582" spans="1:16" x14ac:dyDescent="0.3">
      <c r="A582" s="7">
        <v>45484</v>
      </c>
      <c r="B582" s="8" t="s">
        <v>39</v>
      </c>
      <c r="C582" s="9">
        <v>9.44</v>
      </c>
      <c r="D582" s="9">
        <v>11.057</v>
      </c>
      <c r="E582" s="36"/>
      <c r="F582" s="36"/>
      <c r="G582" s="20" t="s">
        <v>33</v>
      </c>
      <c r="H582" s="12">
        <v>17000</v>
      </c>
      <c r="I582" s="13"/>
      <c r="J582" s="11"/>
      <c r="K582" s="14">
        <f t="shared" si="67"/>
        <v>710.90909090908826</v>
      </c>
      <c r="L582" s="15">
        <v>10.43</v>
      </c>
      <c r="M582" s="15"/>
      <c r="N582" s="16">
        <f t="shared" si="64"/>
        <v>177310</v>
      </c>
      <c r="O582" s="17">
        <f t="shared" si="66"/>
        <v>161190.90909090909</v>
      </c>
      <c r="P582" s="18">
        <f t="shared" ref="P582:P649" si="68">(C582*H582)+(I582*D582)</f>
        <v>160480</v>
      </c>
    </row>
    <row r="583" spans="1:16" x14ac:dyDescent="0.3">
      <c r="A583" s="7">
        <v>45483</v>
      </c>
      <c r="B583" s="8" t="s">
        <v>43</v>
      </c>
      <c r="C583" s="9">
        <v>9.4619999999999997</v>
      </c>
      <c r="D583" s="9">
        <v>11.058</v>
      </c>
      <c r="E583" s="36">
        <v>55000</v>
      </c>
      <c r="F583" s="36">
        <v>11000</v>
      </c>
      <c r="G583" s="20" t="s">
        <v>32</v>
      </c>
      <c r="H583" s="12">
        <v>30000</v>
      </c>
      <c r="I583" s="13">
        <v>3000</v>
      </c>
      <c r="J583" s="11"/>
      <c r="K583" s="14">
        <f t="shared" si="67"/>
        <v>2738.7272727272357</v>
      </c>
      <c r="L583" s="15">
        <v>10.45</v>
      </c>
      <c r="M583" s="15">
        <v>12.75</v>
      </c>
      <c r="N583" s="16">
        <f t="shared" si="64"/>
        <v>351750</v>
      </c>
      <c r="O583" s="17">
        <f t="shared" si="66"/>
        <v>319772.72727272724</v>
      </c>
      <c r="P583" s="18">
        <f t="shared" si="68"/>
        <v>317034</v>
      </c>
    </row>
    <row r="584" spans="1:16" x14ac:dyDescent="0.3">
      <c r="A584" s="7">
        <v>45484</v>
      </c>
      <c r="B584" s="8" t="s">
        <v>43</v>
      </c>
      <c r="C584" s="9">
        <v>9.4619999999999997</v>
      </c>
      <c r="D584" s="9">
        <v>11.058</v>
      </c>
      <c r="E584" s="36"/>
      <c r="F584" s="36"/>
      <c r="G584" s="20" t="s">
        <v>32</v>
      </c>
      <c r="H584" s="12">
        <v>25000</v>
      </c>
      <c r="I584" s="13">
        <v>8000</v>
      </c>
      <c r="J584" s="11"/>
      <c r="K584" s="14">
        <f t="shared" si="67"/>
        <v>5213.2727272727061</v>
      </c>
      <c r="L584" s="15">
        <v>10.45</v>
      </c>
      <c r="M584" s="15">
        <v>12.75</v>
      </c>
      <c r="N584" s="16">
        <f t="shared" si="64"/>
        <v>363250</v>
      </c>
      <c r="O584" s="17">
        <f t="shared" si="66"/>
        <v>330227.27272727271</v>
      </c>
      <c r="P584" s="18">
        <f t="shared" si="68"/>
        <v>325014</v>
      </c>
    </row>
    <row r="585" spans="1:16" x14ac:dyDescent="0.3">
      <c r="A585" s="7">
        <v>45483</v>
      </c>
      <c r="B585" s="8" t="s">
        <v>19</v>
      </c>
      <c r="C585" s="9">
        <v>9.4619999999999997</v>
      </c>
      <c r="D585" s="9">
        <v>11.058</v>
      </c>
      <c r="E585" s="35">
        <v>0</v>
      </c>
      <c r="F585" s="35">
        <v>3000</v>
      </c>
      <c r="G585" s="11" t="s">
        <v>17</v>
      </c>
      <c r="H585" s="12"/>
      <c r="I585" s="13">
        <v>3000</v>
      </c>
      <c r="J585" s="11"/>
      <c r="K585" s="14">
        <f t="shared" si="67"/>
        <v>1189.6363636363603</v>
      </c>
      <c r="L585" s="15"/>
      <c r="M585" s="15">
        <v>12.6</v>
      </c>
      <c r="N585" s="16">
        <f t="shared" si="64"/>
        <v>37800</v>
      </c>
      <c r="O585" s="17">
        <f t="shared" si="66"/>
        <v>34363.63636363636</v>
      </c>
      <c r="P585" s="18">
        <f t="shared" si="68"/>
        <v>33174</v>
      </c>
    </row>
    <row r="586" spans="1:16" x14ac:dyDescent="0.3">
      <c r="A586" s="7">
        <v>45484</v>
      </c>
      <c r="B586" s="8" t="s">
        <v>39</v>
      </c>
      <c r="C586" s="9">
        <v>9.44</v>
      </c>
      <c r="D586" s="9">
        <v>11.057</v>
      </c>
      <c r="E586" s="36">
        <v>65000</v>
      </c>
      <c r="F586" s="36">
        <v>0</v>
      </c>
      <c r="G586" s="20" t="s">
        <v>33</v>
      </c>
      <c r="H586" s="12">
        <v>33000</v>
      </c>
      <c r="I586" s="13">
        <v>0</v>
      </c>
      <c r="J586" s="11"/>
      <c r="K586" s="14">
        <f t="shared" si="67"/>
        <v>1380</v>
      </c>
      <c r="L586" s="15">
        <v>10.43</v>
      </c>
      <c r="M586" s="15">
        <v>12.45</v>
      </c>
      <c r="N586" s="16">
        <f t="shared" si="64"/>
        <v>344190</v>
      </c>
      <c r="O586" s="17">
        <f t="shared" si="66"/>
        <v>312900</v>
      </c>
      <c r="P586" s="18">
        <f t="shared" si="68"/>
        <v>311520</v>
      </c>
    </row>
    <row r="587" spans="1:16" x14ac:dyDescent="0.3">
      <c r="A587" s="7">
        <v>45484</v>
      </c>
      <c r="B587" s="8" t="s">
        <v>39</v>
      </c>
      <c r="C587" s="9">
        <v>9.44</v>
      </c>
      <c r="D587" s="9">
        <v>11.057</v>
      </c>
      <c r="E587" s="36"/>
      <c r="F587" s="36"/>
      <c r="G587" s="20" t="s">
        <v>23</v>
      </c>
      <c r="H587" s="12">
        <v>15000</v>
      </c>
      <c r="I587" s="13">
        <v>0</v>
      </c>
      <c r="J587" s="11"/>
      <c r="K587" s="14">
        <f t="shared" si="67"/>
        <v>20263.636363636353</v>
      </c>
      <c r="L587" s="15">
        <v>11.87</v>
      </c>
      <c r="M587" s="15">
        <v>14.11</v>
      </c>
      <c r="N587" s="16">
        <f>(H587*L587)+(I587*M587)</f>
        <v>178050</v>
      </c>
      <c r="O587" s="17">
        <f t="shared" si="66"/>
        <v>161863.63636363635</v>
      </c>
      <c r="P587" s="18">
        <f t="shared" si="68"/>
        <v>141600</v>
      </c>
    </row>
    <row r="588" spans="1:16" hidden="1" x14ac:dyDescent="0.3">
      <c r="A588" s="7">
        <v>45484</v>
      </c>
      <c r="B588" s="8" t="s">
        <v>39</v>
      </c>
      <c r="C588" s="9">
        <v>9.44</v>
      </c>
      <c r="D588" s="9">
        <v>11.057</v>
      </c>
      <c r="E588" s="36"/>
      <c r="F588" s="36"/>
      <c r="G588" s="20" t="s">
        <v>22</v>
      </c>
      <c r="H588" s="12">
        <v>17000</v>
      </c>
      <c r="I588" s="13"/>
      <c r="J588" s="11"/>
      <c r="K588" s="14">
        <f t="shared" si="67"/>
        <v>-160480</v>
      </c>
      <c r="L588" s="15"/>
      <c r="M588" s="15"/>
      <c r="N588" s="16">
        <f t="shared" si="64"/>
        <v>0</v>
      </c>
      <c r="O588" s="17">
        <f t="shared" si="66"/>
        <v>0</v>
      </c>
      <c r="P588" s="18">
        <f t="shared" si="68"/>
        <v>160480</v>
      </c>
    </row>
    <row r="589" spans="1:16" x14ac:dyDescent="0.3">
      <c r="A589" s="7">
        <v>45484</v>
      </c>
      <c r="B589" s="8" t="s">
        <v>19</v>
      </c>
      <c r="C589" s="9">
        <v>9.4619999999999997</v>
      </c>
      <c r="D589" s="9">
        <v>11.058</v>
      </c>
      <c r="E589" s="37"/>
      <c r="F589" s="37">
        <v>5000</v>
      </c>
      <c r="G589" s="11" t="s">
        <v>33</v>
      </c>
      <c r="H589" s="12"/>
      <c r="I589" s="13">
        <v>5000</v>
      </c>
      <c r="J589" s="11"/>
      <c r="K589" s="14">
        <f t="shared" si="67"/>
        <v>1300.9090909090883</v>
      </c>
      <c r="L589" s="15"/>
      <c r="M589" s="15">
        <v>12.45</v>
      </c>
      <c r="N589" s="16">
        <f t="shared" si="64"/>
        <v>62250</v>
      </c>
      <c r="O589" s="17">
        <f t="shared" si="66"/>
        <v>56590.909090909088</v>
      </c>
      <c r="P589" s="18">
        <f t="shared" si="68"/>
        <v>55290</v>
      </c>
    </row>
    <row r="590" spans="1:16" x14ac:dyDescent="0.3">
      <c r="A590" s="7">
        <v>45484</v>
      </c>
      <c r="B590" s="8" t="s">
        <v>43</v>
      </c>
      <c r="C590" s="9">
        <v>9.4619999999999997</v>
      </c>
      <c r="D590" s="9">
        <v>11.058</v>
      </c>
      <c r="E590" s="36">
        <v>36000</v>
      </c>
      <c r="F590" s="36">
        <v>14000</v>
      </c>
      <c r="G590" s="20" t="s">
        <v>32</v>
      </c>
      <c r="H590" s="12">
        <v>18000</v>
      </c>
      <c r="I590" s="13">
        <v>14000</v>
      </c>
      <c r="J590" s="11"/>
      <c r="K590" s="14">
        <f t="shared" si="67"/>
        <v>8144.7272727272357</v>
      </c>
      <c r="L590" s="15">
        <v>10.45</v>
      </c>
      <c r="M590" s="15">
        <v>12.75</v>
      </c>
      <c r="N590" s="16">
        <f t="shared" si="64"/>
        <v>366600</v>
      </c>
      <c r="O590" s="17">
        <f t="shared" si="66"/>
        <v>333272.72727272724</v>
      </c>
      <c r="P590" s="18">
        <f t="shared" si="68"/>
        <v>325128</v>
      </c>
    </row>
    <row r="591" spans="1:16" x14ac:dyDescent="0.3">
      <c r="A591" s="7">
        <v>45484</v>
      </c>
      <c r="B591" s="8" t="s">
        <v>43</v>
      </c>
      <c r="C591" s="9">
        <v>9.4619999999999997</v>
      </c>
      <c r="D591" s="9">
        <v>11.058</v>
      </c>
      <c r="E591" s="36"/>
      <c r="F591" s="36"/>
      <c r="G591" s="20" t="s">
        <v>47</v>
      </c>
      <c r="H591" s="12">
        <v>18000</v>
      </c>
      <c r="I591" s="13"/>
      <c r="J591" s="11"/>
      <c r="K591" s="14">
        <f t="shared" si="67"/>
        <v>684</v>
      </c>
      <c r="L591" s="15">
        <v>10.45</v>
      </c>
      <c r="M591" s="15"/>
      <c r="N591" s="16">
        <f t="shared" si="64"/>
        <v>188100</v>
      </c>
      <c r="O591" s="17">
        <f t="shared" si="66"/>
        <v>171000</v>
      </c>
      <c r="P591" s="18">
        <f t="shared" si="68"/>
        <v>170316</v>
      </c>
    </row>
    <row r="592" spans="1:16" x14ac:dyDescent="0.3">
      <c r="A592" s="7">
        <v>45485</v>
      </c>
      <c r="B592" s="8" t="s">
        <v>43</v>
      </c>
      <c r="C592" s="9">
        <v>9.4619999999999997</v>
      </c>
      <c r="D592" s="9">
        <v>11.058</v>
      </c>
      <c r="E592" s="36">
        <v>75000</v>
      </c>
      <c r="F592" s="36">
        <v>55000</v>
      </c>
      <c r="G592" s="20" t="s">
        <v>26</v>
      </c>
      <c r="H592" s="12">
        <v>28000</v>
      </c>
      <c r="I592" s="13">
        <v>4000</v>
      </c>
      <c r="J592" s="11"/>
      <c r="K592" s="14">
        <f t="shared" si="67"/>
        <v>52650.181818181765</v>
      </c>
      <c r="L592" s="15">
        <v>12.18</v>
      </c>
      <c r="M592" s="15">
        <v>14.24</v>
      </c>
      <c r="N592" s="16">
        <f t="shared" si="64"/>
        <v>398000</v>
      </c>
      <c r="O592" s="17">
        <f t="shared" si="66"/>
        <v>361818.18181818177</v>
      </c>
      <c r="P592" s="18">
        <f t="shared" si="68"/>
        <v>309168</v>
      </c>
    </row>
    <row r="593" spans="1:16" x14ac:dyDescent="0.3">
      <c r="A593" s="7">
        <v>45485</v>
      </c>
      <c r="B593" s="8" t="s">
        <v>43</v>
      </c>
      <c r="C593" s="9">
        <v>9.4619999999999997</v>
      </c>
      <c r="D593" s="9">
        <v>11.058</v>
      </c>
      <c r="E593" s="36"/>
      <c r="F593" s="36"/>
      <c r="G593" s="20" t="s">
        <v>17</v>
      </c>
      <c r="H593" s="12">
        <v>21000</v>
      </c>
      <c r="I593" s="13">
        <v>12000</v>
      </c>
      <c r="J593" s="11"/>
      <c r="K593" s="14">
        <f t="shared" si="67"/>
        <v>5556.5454545454122</v>
      </c>
      <c r="L593" s="15">
        <v>10.45</v>
      </c>
      <c r="M593" s="15">
        <v>12.6</v>
      </c>
      <c r="N593" s="16">
        <f t="shared" si="64"/>
        <v>370650</v>
      </c>
      <c r="O593" s="17">
        <f t="shared" si="66"/>
        <v>336954.54545454541</v>
      </c>
      <c r="P593" s="18">
        <f t="shared" si="68"/>
        <v>331398</v>
      </c>
    </row>
    <row r="594" spans="1:16" x14ac:dyDescent="0.3">
      <c r="A594" s="7">
        <v>45485</v>
      </c>
      <c r="B594" s="8" t="s">
        <v>43</v>
      </c>
      <c r="C594" s="9">
        <v>9.4619999999999997</v>
      </c>
      <c r="D594" s="9">
        <v>11.058</v>
      </c>
      <c r="E594" s="36"/>
      <c r="F594" s="36"/>
      <c r="G594" s="20" t="s">
        <v>23</v>
      </c>
      <c r="H594" s="12">
        <v>0</v>
      </c>
      <c r="I594" s="13">
        <v>7000</v>
      </c>
      <c r="J594" s="11"/>
      <c r="K594" s="14">
        <f t="shared" si="67"/>
        <v>12384.909090909088</v>
      </c>
      <c r="L594" s="15">
        <v>11.87</v>
      </c>
      <c r="M594" s="15">
        <v>14.11</v>
      </c>
      <c r="N594" s="16">
        <f t="shared" si="64"/>
        <v>98770</v>
      </c>
      <c r="O594" s="17">
        <f t="shared" si="66"/>
        <v>89790.909090909088</v>
      </c>
      <c r="P594" s="18">
        <f t="shared" si="68"/>
        <v>77406</v>
      </c>
    </row>
    <row r="595" spans="1:16" hidden="1" x14ac:dyDescent="0.3">
      <c r="A595" s="7">
        <v>45485</v>
      </c>
      <c r="B595" s="8" t="s">
        <v>43</v>
      </c>
      <c r="C595" s="9">
        <v>9.4619999999999997</v>
      </c>
      <c r="D595" s="9">
        <v>11.058</v>
      </c>
      <c r="E595" s="36"/>
      <c r="F595" s="36"/>
      <c r="G595" s="20" t="s">
        <v>22</v>
      </c>
      <c r="H595" s="12">
        <v>0</v>
      </c>
      <c r="I595" s="13">
        <v>10000</v>
      </c>
      <c r="J595" s="11"/>
      <c r="K595" s="14">
        <f t="shared" si="67"/>
        <v>-110580</v>
      </c>
      <c r="L595" s="15">
        <v>0</v>
      </c>
      <c r="M595" s="15">
        <v>0</v>
      </c>
      <c r="N595" s="16">
        <f t="shared" si="64"/>
        <v>0</v>
      </c>
      <c r="O595" s="17">
        <f t="shared" si="66"/>
        <v>0</v>
      </c>
      <c r="P595" s="18">
        <f t="shared" si="68"/>
        <v>110580</v>
      </c>
    </row>
    <row r="596" spans="1:16" x14ac:dyDescent="0.3">
      <c r="A596" s="7">
        <v>45485</v>
      </c>
      <c r="B596" s="8" t="s">
        <v>43</v>
      </c>
      <c r="C596" s="9">
        <v>9.4619999999999997</v>
      </c>
      <c r="D596" s="9">
        <v>11.058</v>
      </c>
      <c r="E596" s="36"/>
      <c r="F596" s="36"/>
      <c r="G596" s="11" t="s">
        <v>34</v>
      </c>
      <c r="H596" s="12">
        <v>0</v>
      </c>
      <c r="I596" s="13">
        <v>14000</v>
      </c>
      <c r="J596" s="11"/>
      <c r="K596" s="14"/>
      <c r="L596" s="15"/>
      <c r="M596" s="15">
        <v>12.72</v>
      </c>
      <c r="N596" s="16">
        <f t="shared" si="64"/>
        <v>178080</v>
      </c>
      <c r="O596" s="17">
        <f t="shared" si="66"/>
        <v>161890.90909090909</v>
      </c>
      <c r="P596" s="18">
        <f t="shared" si="68"/>
        <v>154812</v>
      </c>
    </row>
    <row r="597" spans="1:16" x14ac:dyDescent="0.3">
      <c r="A597" s="7">
        <v>45485</v>
      </c>
      <c r="B597" s="8" t="s">
        <v>43</v>
      </c>
      <c r="C597" s="9">
        <v>9.4619999999999997</v>
      </c>
      <c r="D597" s="9">
        <v>11.058</v>
      </c>
      <c r="E597" s="36"/>
      <c r="F597" s="36"/>
      <c r="G597" s="20" t="s">
        <v>17</v>
      </c>
      <c r="H597" s="12">
        <v>26000</v>
      </c>
      <c r="I597" s="13">
        <v>8000</v>
      </c>
      <c r="J597" s="11"/>
      <c r="K597" s="14">
        <f t="shared" si="67"/>
        <v>4160.3636363635887</v>
      </c>
      <c r="L597" s="15">
        <v>10.45</v>
      </c>
      <c r="M597" s="15">
        <v>12.6</v>
      </c>
      <c r="N597" s="16">
        <f t="shared" si="64"/>
        <v>372500</v>
      </c>
      <c r="O597" s="17">
        <f t="shared" si="66"/>
        <v>338636.36363636359</v>
      </c>
      <c r="P597" s="18">
        <f t="shared" si="68"/>
        <v>334476</v>
      </c>
    </row>
    <row r="598" spans="1:16" x14ac:dyDescent="0.3">
      <c r="A598" s="7">
        <v>45485</v>
      </c>
      <c r="B598" s="8" t="s">
        <v>19</v>
      </c>
      <c r="C598" s="9">
        <v>9.4619999999999997</v>
      </c>
      <c r="D598" s="9">
        <v>11.058</v>
      </c>
      <c r="E598" s="35"/>
      <c r="F598" s="35">
        <v>8000</v>
      </c>
      <c r="G598" s="11" t="s">
        <v>17</v>
      </c>
      <c r="H598" s="12"/>
      <c r="I598" s="13">
        <v>8000</v>
      </c>
      <c r="J598" s="11"/>
      <c r="K598" s="14">
        <f t="shared" si="67"/>
        <v>3172.3636363636324</v>
      </c>
      <c r="L598" s="15"/>
      <c r="M598" s="15">
        <v>12.6</v>
      </c>
      <c r="N598" s="16">
        <f t="shared" si="64"/>
        <v>100800</v>
      </c>
      <c r="O598" s="17">
        <f t="shared" si="66"/>
        <v>91636.363636363632</v>
      </c>
      <c r="P598" s="18">
        <f t="shared" si="68"/>
        <v>88464</v>
      </c>
    </row>
    <row r="599" spans="1:16" x14ac:dyDescent="0.3">
      <c r="A599" s="7">
        <v>45486</v>
      </c>
      <c r="B599" s="8" t="s">
        <v>43</v>
      </c>
      <c r="C599" s="9">
        <v>9.4619999999999997</v>
      </c>
      <c r="D599" s="9">
        <v>11.058</v>
      </c>
      <c r="E599" s="36">
        <v>17000</v>
      </c>
      <c r="F599" s="36">
        <v>31000</v>
      </c>
      <c r="G599" s="20" t="s">
        <v>32</v>
      </c>
      <c r="H599" s="12">
        <v>17000</v>
      </c>
      <c r="I599" s="13">
        <v>16000</v>
      </c>
      <c r="J599" s="11"/>
      <c r="K599" s="14">
        <f t="shared" si="67"/>
        <v>9172.5454545454122</v>
      </c>
      <c r="L599" s="15">
        <v>10.45</v>
      </c>
      <c r="M599" s="15">
        <v>12.75</v>
      </c>
      <c r="N599" s="16">
        <f t="shared" si="64"/>
        <v>381650</v>
      </c>
      <c r="O599" s="17">
        <f t="shared" si="66"/>
        <v>346954.54545454541</v>
      </c>
      <c r="P599" s="18">
        <f t="shared" si="68"/>
        <v>337782</v>
      </c>
    </row>
    <row r="600" spans="1:16" x14ac:dyDescent="0.3">
      <c r="A600" s="7">
        <v>45486</v>
      </c>
      <c r="B600" s="8" t="s">
        <v>43</v>
      </c>
      <c r="C600" s="9">
        <v>9.4619999999999997</v>
      </c>
      <c r="D600" s="9">
        <v>11.058</v>
      </c>
      <c r="E600" s="36"/>
      <c r="F600" s="36"/>
      <c r="G600" s="11" t="s">
        <v>37</v>
      </c>
      <c r="H600" s="12">
        <v>0</v>
      </c>
      <c r="I600" s="13">
        <v>15000</v>
      </c>
      <c r="J600" s="11"/>
      <c r="K600" s="14">
        <f t="shared" si="67"/>
        <v>3902.7272727272648</v>
      </c>
      <c r="L600" s="15"/>
      <c r="M600" s="15">
        <v>12.45</v>
      </c>
      <c r="N600" s="16">
        <f t="shared" si="64"/>
        <v>186750</v>
      </c>
      <c r="O600" s="17">
        <f t="shared" si="66"/>
        <v>169772.72727272726</v>
      </c>
      <c r="P600" s="18">
        <f t="shared" si="68"/>
        <v>165870</v>
      </c>
    </row>
    <row r="601" spans="1:16" x14ac:dyDescent="0.3">
      <c r="A601" s="7">
        <v>45488</v>
      </c>
      <c r="B601" s="8" t="s">
        <v>43</v>
      </c>
      <c r="C601" s="9">
        <v>9.4619999999999997</v>
      </c>
      <c r="D601" s="9">
        <v>11.058</v>
      </c>
      <c r="E601" s="36">
        <v>213000</v>
      </c>
      <c r="F601" s="36">
        <v>66000</v>
      </c>
      <c r="G601" s="23" t="s">
        <v>27</v>
      </c>
      <c r="H601" s="12">
        <v>27000</v>
      </c>
      <c r="I601" s="13">
        <v>5000</v>
      </c>
      <c r="J601" s="11"/>
      <c r="K601" s="14">
        <f t="shared" si="67"/>
        <v>35826.909090909059</v>
      </c>
      <c r="L601" s="15">
        <v>11.55</v>
      </c>
      <c r="M601" s="15">
        <v>13.88</v>
      </c>
      <c r="N601" s="16">
        <f t="shared" ref="N601:N668" si="69">(H601*L601)+(I601*M601)</f>
        <v>381250</v>
      </c>
      <c r="O601" s="17">
        <f t="shared" si="66"/>
        <v>346590.90909090906</v>
      </c>
      <c r="P601" s="18">
        <f t="shared" si="68"/>
        <v>310764</v>
      </c>
    </row>
    <row r="602" spans="1:16" x14ac:dyDescent="0.3">
      <c r="A602" s="7">
        <v>45488</v>
      </c>
      <c r="B602" s="8" t="s">
        <v>43</v>
      </c>
      <c r="C602" s="9">
        <v>9.4619999999999997</v>
      </c>
      <c r="D602" s="9">
        <v>11.058</v>
      </c>
      <c r="E602" s="36"/>
      <c r="F602" s="36"/>
      <c r="G602" s="20" t="s">
        <v>32</v>
      </c>
      <c r="H602" s="12">
        <v>33000</v>
      </c>
      <c r="I602" s="13"/>
      <c r="J602" s="11"/>
      <c r="K602" s="14">
        <f t="shared" si="67"/>
        <v>1254</v>
      </c>
      <c r="L602" s="15">
        <v>10.45</v>
      </c>
      <c r="M602" s="15">
        <v>12.75</v>
      </c>
      <c r="N602" s="16">
        <f t="shared" si="69"/>
        <v>344850</v>
      </c>
      <c r="O602" s="17">
        <f t="shared" si="66"/>
        <v>313500</v>
      </c>
      <c r="P602" s="18">
        <f t="shared" si="68"/>
        <v>312246</v>
      </c>
    </row>
    <row r="603" spans="1:16" x14ac:dyDescent="0.3">
      <c r="A603" s="7">
        <v>45488</v>
      </c>
      <c r="B603" s="8" t="s">
        <v>43</v>
      </c>
      <c r="C603" s="9">
        <v>9.4619999999999997</v>
      </c>
      <c r="D603" s="9">
        <v>11.058</v>
      </c>
      <c r="E603" s="36"/>
      <c r="F603" s="36"/>
      <c r="G603" s="20" t="s">
        <v>32</v>
      </c>
      <c r="H603" s="12"/>
      <c r="I603" s="13">
        <v>15000</v>
      </c>
      <c r="J603" s="11"/>
      <c r="K603" s="14">
        <f t="shared" si="67"/>
        <v>7993.6363636363531</v>
      </c>
      <c r="L603" s="15">
        <v>10.45</v>
      </c>
      <c r="M603" s="15">
        <v>12.75</v>
      </c>
      <c r="N603" s="16">
        <f t="shared" si="69"/>
        <v>191250</v>
      </c>
      <c r="O603" s="17">
        <f t="shared" si="66"/>
        <v>173863.63636363635</v>
      </c>
      <c r="P603" s="18">
        <f t="shared" si="68"/>
        <v>165870</v>
      </c>
    </row>
    <row r="604" spans="1:16" x14ac:dyDescent="0.3">
      <c r="A604" s="7">
        <v>45488</v>
      </c>
      <c r="B604" s="8" t="s">
        <v>43</v>
      </c>
      <c r="C604" s="9">
        <v>9.4619999999999997</v>
      </c>
      <c r="D604" s="9">
        <v>11.058</v>
      </c>
      <c r="E604" s="36"/>
      <c r="F604" s="36"/>
      <c r="G604" s="20" t="s">
        <v>17</v>
      </c>
      <c r="H604" s="12">
        <v>11000</v>
      </c>
      <c r="I604" s="13">
        <v>6000</v>
      </c>
      <c r="J604" s="11"/>
      <c r="K604" s="14">
        <f t="shared" si="67"/>
        <v>2797.2727272727061</v>
      </c>
      <c r="L604" s="15">
        <v>10.45</v>
      </c>
      <c r="M604" s="15">
        <v>12.6</v>
      </c>
      <c r="N604" s="16">
        <f t="shared" si="69"/>
        <v>190550</v>
      </c>
      <c r="O604" s="17">
        <f t="shared" si="66"/>
        <v>173227.27272727271</v>
      </c>
      <c r="P604" s="18">
        <f t="shared" si="68"/>
        <v>170430</v>
      </c>
    </row>
    <row r="605" spans="1:16" x14ac:dyDescent="0.3">
      <c r="A605" s="7">
        <v>45488</v>
      </c>
      <c r="B605" s="8" t="s">
        <v>43</v>
      </c>
      <c r="C605" s="9">
        <v>9.4619999999999997</v>
      </c>
      <c r="D605" s="9">
        <v>11.058</v>
      </c>
      <c r="E605" s="36"/>
      <c r="F605" s="36"/>
      <c r="G605" s="20" t="s">
        <v>32</v>
      </c>
      <c r="H605" s="12">
        <v>33000</v>
      </c>
      <c r="I605" s="13"/>
      <c r="J605" s="11"/>
      <c r="K605" s="14">
        <f t="shared" si="67"/>
        <v>1254</v>
      </c>
      <c r="L605" s="15">
        <v>10.45</v>
      </c>
      <c r="M605" s="15">
        <v>12.75</v>
      </c>
      <c r="N605" s="16">
        <f t="shared" si="69"/>
        <v>344850</v>
      </c>
      <c r="O605" s="17">
        <f t="shared" si="66"/>
        <v>313500</v>
      </c>
      <c r="P605" s="18">
        <f t="shared" si="68"/>
        <v>312246</v>
      </c>
    </row>
    <row r="606" spans="1:16" x14ac:dyDescent="0.3">
      <c r="A606" s="7">
        <v>45488</v>
      </c>
      <c r="B606" s="8" t="s">
        <v>43</v>
      </c>
      <c r="C606" s="9">
        <v>9.4619999999999997</v>
      </c>
      <c r="D606" s="9">
        <v>11.058</v>
      </c>
      <c r="E606" s="36"/>
      <c r="F606" s="36"/>
      <c r="G606" s="20" t="s">
        <v>32</v>
      </c>
      <c r="H606" s="12">
        <v>33000</v>
      </c>
      <c r="I606" s="13"/>
      <c r="J606" s="11"/>
      <c r="K606" s="14">
        <f t="shared" si="67"/>
        <v>1254</v>
      </c>
      <c r="L606" s="15">
        <v>10.45</v>
      </c>
      <c r="M606" s="15">
        <v>12.75</v>
      </c>
      <c r="N606" s="16">
        <f t="shared" si="69"/>
        <v>344850</v>
      </c>
      <c r="O606" s="17">
        <f t="shared" si="66"/>
        <v>313500</v>
      </c>
      <c r="P606" s="18">
        <f t="shared" si="68"/>
        <v>312246</v>
      </c>
    </row>
    <row r="607" spans="1:16" x14ac:dyDescent="0.3">
      <c r="A607" s="7">
        <v>45488</v>
      </c>
      <c r="B607" s="8" t="s">
        <v>43</v>
      </c>
      <c r="C607" s="9">
        <v>9.4619999999999997</v>
      </c>
      <c r="D607" s="9">
        <v>11.058</v>
      </c>
      <c r="E607" s="36"/>
      <c r="F607" s="36"/>
      <c r="G607" s="20" t="s">
        <v>32</v>
      </c>
      <c r="H607" s="12">
        <v>28000</v>
      </c>
      <c r="I607" s="13">
        <v>5000</v>
      </c>
      <c r="J607" s="11"/>
      <c r="K607" s="14">
        <f>O607-P607</f>
        <v>3728.5454545454122</v>
      </c>
      <c r="L607" s="15">
        <v>10.45</v>
      </c>
      <c r="M607" s="15">
        <v>12.75</v>
      </c>
      <c r="N607" s="16">
        <f>(H607*L607+(I607*M607))</f>
        <v>356350</v>
      </c>
      <c r="O607" s="17">
        <f t="shared" si="66"/>
        <v>323954.54545454541</v>
      </c>
      <c r="P607" s="18">
        <f t="shared" si="68"/>
        <v>320226</v>
      </c>
    </row>
    <row r="608" spans="1:16" x14ac:dyDescent="0.3">
      <c r="A608" s="7">
        <v>45488</v>
      </c>
      <c r="B608" s="8" t="s">
        <v>43</v>
      </c>
      <c r="C608" s="9">
        <v>9.4619999999999997</v>
      </c>
      <c r="D608" s="9">
        <v>11.058</v>
      </c>
      <c r="E608" s="36"/>
      <c r="F608" s="36"/>
      <c r="G608" s="11" t="s">
        <v>37</v>
      </c>
      <c r="H608" s="12"/>
      <c r="I608" s="13">
        <v>15000</v>
      </c>
      <c r="J608" s="11"/>
      <c r="K608" s="14">
        <f t="shared" si="67"/>
        <v>3902.7272727272648</v>
      </c>
      <c r="L608" s="15"/>
      <c r="M608" s="15">
        <v>12.45</v>
      </c>
      <c r="N608" s="16">
        <f t="shared" si="69"/>
        <v>186750</v>
      </c>
      <c r="O608" s="17">
        <f t="shared" si="66"/>
        <v>169772.72727272726</v>
      </c>
      <c r="P608" s="18">
        <f t="shared" si="68"/>
        <v>165870</v>
      </c>
    </row>
    <row r="609" spans="1:16" x14ac:dyDescent="0.3">
      <c r="A609" s="7">
        <v>45488</v>
      </c>
      <c r="B609" s="8" t="s">
        <v>43</v>
      </c>
      <c r="C609" s="9">
        <v>9.4619999999999997</v>
      </c>
      <c r="D609" s="9">
        <v>11.058</v>
      </c>
      <c r="E609" s="36"/>
      <c r="F609" s="36"/>
      <c r="G609" s="20" t="s">
        <v>17</v>
      </c>
      <c r="H609" s="12">
        <v>35000</v>
      </c>
      <c r="I609" s="13"/>
      <c r="J609" s="11"/>
      <c r="K609" s="14">
        <f t="shared" si="67"/>
        <v>1330</v>
      </c>
      <c r="L609" s="15">
        <v>10.45</v>
      </c>
      <c r="M609" s="15">
        <v>12.6</v>
      </c>
      <c r="N609" s="16">
        <f t="shared" si="69"/>
        <v>365750</v>
      </c>
      <c r="O609" s="17">
        <f t="shared" si="66"/>
        <v>332500</v>
      </c>
      <c r="P609" s="18">
        <f t="shared" si="68"/>
        <v>331170</v>
      </c>
    </row>
    <row r="610" spans="1:16" x14ac:dyDescent="0.3">
      <c r="A610" s="7">
        <v>45488</v>
      </c>
      <c r="B610" s="8" t="s">
        <v>43</v>
      </c>
      <c r="C610" s="9">
        <v>9.4619999999999997</v>
      </c>
      <c r="D610" s="9">
        <v>11.058</v>
      </c>
      <c r="E610" s="36"/>
      <c r="F610" s="36"/>
      <c r="G610" s="20" t="s">
        <v>17</v>
      </c>
      <c r="H610" s="12">
        <v>13000</v>
      </c>
      <c r="I610" s="13">
        <v>20000</v>
      </c>
      <c r="J610" s="11"/>
      <c r="K610" s="14">
        <f t="shared" si="67"/>
        <v>8424.9090909090592</v>
      </c>
      <c r="L610" s="15">
        <v>10.45</v>
      </c>
      <c r="M610" s="15">
        <v>12.6</v>
      </c>
      <c r="N610" s="16">
        <f t="shared" si="69"/>
        <v>387850</v>
      </c>
      <c r="O610" s="17">
        <f t="shared" si="66"/>
        <v>352590.90909090906</v>
      </c>
      <c r="P610" s="18">
        <f t="shared" si="68"/>
        <v>344166</v>
      </c>
    </row>
    <row r="611" spans="1:16" x14ac:dyDescent="0.3">
      <c r="A611" s="7">
        <v>45489</v>
      </c>
      <c r="B611" s="8" t="s">
        <v>43</v>
      </c>
      <c r="C611" s="9">
        <v>9.4600000000000009</v>
      </c>
      <c r="D611" s="9">
        <v>11.128</v>
      </c>
      <c r="E611" s="36">
        <v>63000</v>
      </c>
      <c r="F611" s="36">
        <v>53000</v>
      </c>
      <c r="G611" s="20" t="s">
        <v>17</v>
      </c>
      <c r="H611" s="12">
        <v>17000</v>
      </c>
      <c r="I611" s="13"/>
      <c r="J611" s="11"/>
      <c r="K611" s="14">
        <f t="shared" si="67"/>
        <v>680</v>
      </c>
      <c r="L611" s="15">
        <v>10.45</v>
      </c>
      <c r="M611" s="15">
        <v>12.6</v>
      </c>
      <c r="N611" s="16">
        <f t="shared" si="69"/>
        <v>177650</v>
      </c>
      <c r="O611" s="17">
        <f t="shared" si="66"/>
        <v>161500</v>
      </c>
      <c r="P611" s="18">
        <f t="shared" si="68"/>
        <v>160820</v>
      </c>
    </row>
    <row r="612" spans="1:16" x14ac:dyDescent="0.3">
      <c r="A612" s="7">
        <v>45489</v>
      </c>
      <c r="B612" s="8" t="s">
        <v>43</v>
      </c>
      <c r="C612" s="9">
        <v>9.4600000000000009</v>
      </c>
      <c r="D612" s="9">
        <v>11.128</v>
      </c>
      <c r="E612" s="36"/>
      <c r="F612" s="36"/>
      <c r="G612" s="20" t="s">
        <v>17</v>
      </c>
      <c r="H612" s="12">
        <v>33000</v>
      </c>
      <c r="I612" s="13"/>
      <c r="J612" s="11"/>
      <c r="K612" s="14">
        <f t="shared" si="67"/>
        <v>1320</v>
      </c>
      <c r="L612" s="15">
        <v>10.45</v>
      </c>
      <c r="M612" s="15">
        <v>12.6</v>
      </c>
      <c r="N612" s="16">
        <f t="shared" si="69"/>
        <v>344850</v>
      </c>
      <c r="O612" s="17">
        <f t="shared" si="66"/>
        <v>313500</v>
      </c>
      <c r="P612" s="18">
        <f t="shared" si="68"/>
        <v>312180</v>
      </c>
    </row>
    <row r="613" spans="1:16" x14ac:dyDescent="0.3">
      <c r="A613" s="7">
        <v>45489</v>
      </c>
      <c r="B613" s="8" t="s">
        <v>43</v>
      </c>
      <c r="C613" s="9">
        <v>9.4600000000000009</v>
      </c>
      <c r="D613" s="9">
        <v>11.128</v>
      </c>
      <c r="E613" s="36"/>
      <c r="F613" s="36"/>
      <c r="G613" s="20" t="s">
        <v>17</v>
      </c>
      <c r="H613" s="12">
        <v>13000</v>
      </c>
      <c r="I613" s="13">
        <v>20000</v>
      </c>
      <c r="J613" s="11"/>
      <c r="K613" s="14">
        <f t="shared" si="67"/>
        <v>7050.9090909090592</v>
      </c>
      <c r="L613" s="15">
        <v>10.45</v>
      </c>
      <c r="M613" s="15">
        <v>12.6</v>
      </c>
      <c r="N613" s="16">
        <f t="shared" si="69"/>
        <v>387850</v>
      </c>
      <c r="O613" s="17">
        <f>N613/1.1</f>
        <v>352590.90909090906</v>
      </c>
      <c r="P613" s="18">
        <f t="shared" si="68"/>
        <v>345540</v>
      </c>
    </row>
    <row r="614" spans="1:16" x14ac:dyDescent="0.3">
      <c r="A614" s="7">
        <v>45489</v>
      </c>
      <c r="B614" s="8" t="s">
        <v>43</v>
      </c>
      <c r="C614" s="9">
        <v>9.4600000000000009</v>
      </c>
      <c r="D614" s="9">
        <v>11.128</v>
      </c>
      <c r="E614" s="36"/>
      <c r="F614" s="36"/>
      <c r="G614" s="11" t="s">
        <v>37</v>
      </c>
      <c r="H614" s="12">
        <v>0</v>
      </c>
      <c r="I614" s="13">
        <v>33000</v>
      </c>
      <c r="J614" s="11"/>
      <c r="K614" s="14">
        <f t="shared" si="67"/>
        <v>6275.9999999999418</v>
      </c>
      <c r="L614" s="15"/>
      <c r="M614" s="15">
        <v>12.45</v>
      </c>
      <c r="N614" s="16">
        <f t="shared" si="69"/>
        <v>410850</v>
      </c>
      <c r="O614" s="17">
        <f t="shared" si="66"/>
        <v>373499.99999999994</v>
      </c>
      <c r="P614" s="18">
        <f t="shared" si="68"/>
        <v>367224</v>
      </c>
    </row>
    <row r="615" spans="1:16" x14ac:dyDescent="0.3">
      <c r="A615" s="7">
        <v>45490</v>
      </c>
      <c r="B615" s="8" t="s">
        <v>43</v>
      </c>
      <c r="C615" s="9">
        <v>9.4600000000000009</v>
      </c>
      <c r="D615" s="9">
        <v>11.128</v>
      </c>
      <c r="E615" s="36">
        <v>204000</v>
      </c>
      <c r="F615" s="36">
        <v>45000</v>
      </c>
      <c r="G615" s="20" t="s">
        <v>32</v>
      </c>
      <c r="H615" s="12">
        <v>31000</v>
      </c>
      <c r="I615" s="13"/>
      <c r="J615" s="11"/>
      <c r="K615" s="14">
        <f t="shared" si="67"/>
        <v>1240</v>
      </c>
      <c r="L615" s="15">
        <v>10.45</v>
      </c>
      <c r="M615" s="15">
        <v>12.75</v>
      </c>
      <c r="N615" s="16">
        <f t="shared" si="69"/>
        <v>323950</v>
      </c>
      <c r="O615" s="17">
        <f t="shared" si="66"/>
        <v>294500</v>
      </c>
      <c r="P615" s="18">
        <f t="shared" si="68"/>
        <v>293260</v>
      </c>
    </row>
    <row r="616" spans="1:16" x14ac:dyDescent="0.3">
      <c r="A616" s="7">
        <v>45490</v>
      </c>
      <c r="B616" s="8" t="s">
        <v>43</v>
      </c>
      <c r="C616" s="9">
        <v>9.4600000000000009</v>
      </c>
      <c r="D616" s="9">
        <v>11.128</v>
      </c>
      <c r="E616" s="36"/>
      <c r="F616" s="36"/>
      <c r="G616" s="20" t="s">
        <v>32</v>
      </c>
      <c r="H616" s="12">
        <v>29000</v>
      </c>
      <c r="I616" s="13">
        <v>4000</v>
      </c>
      <c r="J616" s="11"/>
      <c r="K616" s="14">
        <f t="shared" si="67"/>
        <v>3011.6363636363531</v>
      </c>
      <c r="L616" s="15">
        <v>10.45</v>
      </c>
      <c r="M616" s="15">
        <v>12.75</v>
      </c>
      <c r="N616" s="16">
        <f t="shared" si="69"/>
        <v>354050</v>
      </c>
      <c r="O616" s="17">
        <f t="shared" si="66"/>
        <v>321863.63636363635</v>
      </c>
      <c r="P616" s="18">
        <f t="shared" si="68"/>
        <v>318852</v>
      </c>
    </row>
    <row r="617" spans="1:16" hidden="1" x14ac:dyDescent="0.3">
      <c r="A617" s="7">
        <v>45490</v>
      </c>
      <c r="B617" s="8" t="s">
        <v>43</v>
      </c>
      <c r="C617" s="9">
        <v>9.4600000000000009</v>
      </c>
      <c r="D617" s="9">
        <v>11.128</v>
      </c>
      <c r="E617" s="36"/>
      <c r="F617" s="36"/>
      <c r="G617" s="20" t="s">
        <v>22</v>
      </c>
      <c r="H617" s="12">
        <v>6000</v>
      </c>
      <c r="I617" s="13">
        <v>10000</v>
      </c>
      <c r="J617" s="11"/>
      <c r="K617" s="29">
        <f>O617-P617</f>
        <v>-168040</v>
      </c>
      <c r="L617" s="15"/>
      <c r="M617" s="15"/>
      <c r="N617" s="16">
        <f t="shared" si="69"/>
        <v>0</v>
      </c>
      <c r="O617" s="17">
        <f t="shared" si="66"/>
        <v>0</v>
      </c>
      <c r="P617" s="18">
        <f t="shared" si="68"/>
        <v>168040</v>
      </c>
    </row>
    <row r="618" spans="1:16" x14ac:dyDescent="0.3">
      <c r="A618" s="7">
        <v>45490</v>
      </c>
      <c r="B618" s="8" t="s">
        <v>43</v>
      </c>
      <c r="C618" s="9">
        <v>9.4600000000000009</v>
      </c>
      <c r="D618" s="9">
        <v>11.128</v>
      </c>
      <c r="E618" s="36"/>
      <c r="F618" s="36"/>
      <c r="G618" s="20" t="s">
        <v>23</v>
      </c>
      <c r="H618" s="12">
        <v>10000</v>
      </c>
      <c r="I618" s="13">
        <v>6000</v>
      </c>
      <c r="J618" s="11"/>
      <c r="K618" s="14">
        <f t="shared" si="67"/>
        <v>23504.727272727265</v>
      </c>
      <c r="L618" s="15">
        <v>11.87</v>
      </c>
      <c r="M618" s="15">
        <v>14.11</v>
      </c>
      <c r="N618" s="16">
        <f t="shared" si="69"/>
        <v>203360</v>
      </c>
      <c r="O618" s="17">
        <f t="shared" si="66"/>
        <v>184872.72727272726</v>
      </c>
      <c r="P618" s="18">
        <f t="shared" si="68"/>
        <v>161368</v>
      </c>
    </row>
    <row r="619" spans="1:16" x14ac:dyDescent="0.3">
      <c r="A619" s="7">
        <v>45490</v>
      </c>
      <c r="B619" s="8" t="s">
        <v>43</v>
      </c>
      <c r="C619" s="9">
        <v>9.4600000000000009</v>
      </c>
      <c r="D619" s="9">
        <v>11.128</v>
      </c>
      <c r="E619" s="36"/>
      <c r="F619" s="36"/>
      <c r="G619" s="11" t="s">
        <v>37</v>
      </c>
      <c r="H619" s="13">
        <v>15000</v>
      </c>
      <c r="I619" s="13"/>
      <c r="J619" s="11"/>
      <c r="K619" s="14">
        <f t="shared" si="67"/>
        <v>600</v>
      </c>
      <c r="L619" s="15">
        <v>10.45</v>
      </c>
      <c r="M619" s="15">
        <v>0</v>
      </c>
      <c r="N619" s="16">
        <f t="shared" si="69"/>
        <v>156750</v>
      </c>
      <c r="O619" s="17">
        <f t="shared" si="66"/>
        <v>142500</v>
      </c>
      <c r="P619" s="18">
        <f t="shared" si="68"/>
        <v>141900</v>
      </c>
    </row>
    <row r="620" spans="1:16" x14ac:dyDescent="0.3">
      <c r="A620" s="7">
        <v>45490</v>
      </c>
      <c r="B620" s="8" t="s">
        <v>43</v>
      </c>
      <c r="C620" s="9">
        <v>9.4600000000000009</v>
      </c>
      <c r="D620" s="9">
        <v>11.128</v>
      </c>
      <c r="E620" s="36"/>
      <c r="F620" s="36"/>
      <c r="G620" s="11" t="s">
        <v>37</v>
      </c>
      <c r="H620" s="13">
        <v>15000</v>
      </c>
      <c r="I620" s="13"/>
      <c r="J620" s="11"/>
      <c r="K620" s="14">
        <f t="shared" si="67"/>
        <v>600</v>
      </c>
      <c r="L620" s="15">
        <v>10.45</v>
      </c>
      <c r="M620" s="15">
        <v>0</v>
      </c>
      <c r="N620" s="16">
        <f t="shared" si="69"/>
        <v>156750</v>
      </c>
      <c r="O620" s="17">
        <f t="shared" si="66"/>
        <v>142500</v>
      </c>
      <c r="P620" s="18">
        <f t="shared" si="68"/>
        <v>141900</v>
      </c>
    </row>
    <row r="621" spans="1:16" x14ac:dyDescent="0.3">
      <c r="A621" s="7">
        <v>45490</v>
      </c>
      <c r="B621" s="8" t="s">
        <v>43</v>
      </c>
      <c r="C621" s="9">
        <v>9.4600000000000009</v>
      </c>
      <c r="D621" s="9">
        <v>11.128</v>
      </c>
      <c r="E621" s="36"/>
      <c r="F621" s="36"/>
      <c r="G621" s="11" t="s">
        <v>37</v>
      </c>
      <c r="H621" s="13">
        <v>33000</v>
      </c>
      <c r="I621" s="13"/>
      <c r="J621" s="11"/>
      <c r="K621" s="14">
        <f t="shared" si="67"/>
        <v>1320</v>
      </c>
      <c r="L621" s="15">
        <v>10.45</v>
      </c>
      <c r="M621" s="15">
        <v>0</v>
      </c>
      <c r="N621" s="16">
        <f t="shared" si="69"/>
        <v>344850</v>
      </c>
      <c r="O621" s="17">
        <f t="shared" ref="O621:O685" si="70">N621/1.1</f>
        <v>313500</v>
      </c>
      <c r="P621" s="18">
        <f t="shared" si="68"/>
        <v>312180</v>
      </c>
    </row>
    <row r="622" spans="1:16" x14ac:dyDescent="0.3">
      <c r="A622" s="7">
        <v>45490</v>
      </c>
      <c r="B622" s="8" t="s">
        <v>43</v>
      </c>
      <c r="C622" s="9">
        <v>9.4600000000000009</v>
      </c>
      <c r="D622" s="9">
        <v>11.128</v>
      </c>
      <c r="E622" s="36"/>
      <c r="F622" s="36"/>
      <c r="G622" s="11" t="s">
        <v>37</v>
      </c>
      <c r="H622" s="13">
        <v>33000</v>
      </c>
      <c r="I622" s="13"/>
      <c r="J622" s="11"/>
      <c r="K622" s="14">
        <f t="shared" ref="K622:K636" si="71">O622-P622</f>
        <v>1320</v>
      </c>
      <c r="L622" s="15">
        <v>10.45</v>
      </c>
      <c r="M622" s="15">
        <v>0</v>
      </c>
      <c r="N622" s="16">
        <f t="shared" si="69"/>
        <v>344850</v>
      </c>
      <c r="O622" s="17">
        <f t="shared" si="70"/>
        <v>313500</v>
      </c>
      <c r="P622" s="18">
        <f t="shared" si="68"/>
        <v>312180</v>
      </c>
    </row>
    <row r="623" spans="1:16" x14ac:dyDescent="0.3">
      <c r="A623" s="7">
        <v>45490</v>
      </c>
      <c r="B623" s="8" t="s">
        <v>43</v>
      </c>
      <c r="C623" s="9">
        <v>9.4600000000000009</v>
      </c>
      <c r="D623" s="9">
        <v>11.128</v>
      </c>
      <c r="E623" s="36"/>
      <c r="F623" s="36"/>
      <c r="G623" s="11" t="s">
        <v>37</v>
      </c>
      <c r="H623" s="12">
        <v>12000</v>
      </c>
      <c r="I623" s="13"/>
      <c r="J623" s="11"/>
      <c r="K623" s="14">
        <f t="shared" si="71"/>
        <v>479.99999999995634</v>
      </c>
      <c r="L623" s="15">
        <v>10.45</v>
      </c>
      <c r="M623" s="15">
        <v>0</v>
      </c>
      <c r="N623" s="16">
        <f t="shared" si="69"/>
        <v>125399.99999999999</v>
      </c>
      <c r="O623" s="17">
        <f t="shared" si="70"/>
        <v>113999.99999999997</v>
      </c>
      <c r="P623" s="18">
        <f t="shared" si="68"/>
        <v>113520.00000000001</v>
      </c>
    </row>
    <row r="624" spans="1:16" x14ac:dyDescent="0.3">
      <c r="A624" s="7">
        <v>45490</v>
      </c>
      <c r="B624" s="8" t="s">
        <v>43</v>
      </c>
      <c r="C624" s="9">
        <v>9.4600000000000009</v>
      </c>
      <c r="D624" s="9">
        <v>11.128</v>
      </c>
      <c r="E624" s="36"/>
      <c r="F624" s="36"/>
      <c r="G624" s="20" t="s">
        <v>47</v>
      </c>
      <c r="H624" s="12">
        <v>11000</v>
      </c>
      <c r="I624" s="13">
        <v>3000</v>
      </c>
      <c r="J624" s="11"/>
      <c r="K624" s="14">
        <f t="shared" si="71"/>
        <v>1219.6363636363531</v>
      </c>
      <c r="L624" s="15">
        <v>10.43</v>
      </c>
      <c r="M624" s="15">
        <v>12.6</v>
      </c>
      <c r="N624" s="16">
        <f t="shared" si="69"/>
        <v>152530</v>
      </c>
      <c r="O624" s="17">
        <f t="shared" si="70"/>
        <v>138663.63636363635</v>
      </c>
      <c r="P624" s="18">
        <f t="shared" si="68"/>
        <v>137444</v>
      </c>
    </row>
    <row r="625" spans="1:16" x14ac:dyDescent="0.3">
      <c r="A625" s="7">
        <v>45490</v>
      </c>
      <c r="B625" s="8" t="s">
        <v>43</v>
      </c>
      <c r="C625" s="9">
        <v>9.4600000000000009</v>
      </c>
      <c r="D625" s="9">
        <v>11.128</v>
      </c>
      <c r="E625" s="36"/>
      <c r="F625" s="36"/>
      <c r="G625" s="20" t="s">
        <v>17</v>
      </c>
      <c r="H625" s="12"/>
      <c r="I625" s="13">
        <v>17000</v>
      </c>
      <c r="J625" s="11"/>
      <c r="K625" s="29">
        <f t="shared" si="71"/>
        <v>5551.2727272727061</v>
      </c>
      <c r="L625" s="15">
        <v>10.45</v>
      </c>
      <c r="M625" s="15">
        <v>12.6</v>
      </c>
      <c r="N625" s="16">
        <f t="shared" si="69"/>
        <v>214200</v>
      </c>
      <c r="O625" s="17">
        <f t="shared" si="70"/>
        <v>194727.27272727271</v>
      </c>
      <c r="P625" s="18">
        <f t="shared" si="68"/>
        <v>189176</v>
      </c>
    </row>
    <row r="626" spans="1:16" x14ac:dyDescent="0.3">
      <c r="A626" s="7">
        <v>45490</v>
      </c>
      <c r="B626" s="8" t="s">
        <v>43</v>
      </c>
      <c r="C626" s="9">
        <v>9.4600000000000009</v>
      </c>
      <c r="D626" s="9">
        <v>11.128</v>
      </c>
      <c r="E626" s="36"/>
      <c r="F626" s="36"/>
      <c r="G626" s="20" t="s">
        <v>17</v>
      </c>
      <c r="H626" s="12">
        <v>9000</v>
      </c>
      <c r="I626" s="13">
        <v>5000</v>
      </c>
      <c r="J626" s="11"/>
      <c r="K626" s="29">
        <f t="shared" si="71"/>
        <v>1992.7272727272648</v>
      </c>
      <c r="L626" s="15">
        <v>10.45</v>
      </c>
      <c r="M626" s="15">
        <v>12.6</v>
      </c>
      <c r="N626" s="16">
        <f t="shared" si="69"/>
        <v>157050</v>
      </c>
      <c r="O626" s="17">
        <f t="shared" si="70"/>
        <v>142772.72727272726</v>
      </c>
      <c r="P626" s="18">
        <f t="shared" si="68"/>
        <v>140780</v>
      </c>
    </row>
    <row r="627" spans="1:16" x14ac:dyDescent="0.3">
      <c r="A627" s="7">
        <v>45491</v>
      </c>
      <c r="B627" s="8" t="s">
        <v>43</v>
      </c>
      <c r="C627" s="9">
        <v>9.4600000000000009</v>
      </c>
      <c r="D627" s="9">
        <v>11.128</v>
      </c>
      <c r="E627" s="36">
        <v>164000</v>
      </c>
      <c r="F627" s="36">
        <v>39000</v>
      </c>
      <c r="G627" s="20" t="s">
        <v>32</v>
      </c>
      <c r="H627" s="12">
        <v>23000</v>
      </c>
      <c r="I627" s="13">
        <v>8000</v>
      </c>
      <c r="J627" s="11"/>
      <c r="K627" s="29">
        <f t="shared" si="71"/>
        <v>4623.2727272727061</v>
      </c>
      <c r="L627" s="15">
        <v>10.45</v>
      </c>
      <c r="M627" s="15">
        <v>12.75</v>
      </c>
      <c r="N627" s="16">
        <f t="shared" si="69"/>
        <v>342350</v>
      </c>
      <c r="O627" s="17">
        <f t="shared" si="70"/>
        <v>311227.27272727271</v>
      </c>
      <c r="P627" s="18">
        <f t="shared" si="68"/>
        <v>306604</v>
      </c>
    </row>
    <row r="628" spans="1:16" x14ac:dyDescent="0.3">
      <c r="A628" s="7">
        <v>45491</v>
      </c>
      <c r="B628" s="8" t="s">
        <v>43</v>
      </c>
      <c r="C628" s="9">
        <v>9.4600000000000009</v>
      </c>
      <c r="D628" s="9">
        <v>11.128</v>
      </c>
      <c r="E628" s="36"/>
      <c r="F628" s="36"/>
      <c r="G628" s="20" t="s">
        <v>32</v>
      </c>
      <c r="H628" s="12">
        <v>16000</v>
      </c>
      <c r="I628" s="13">
        <v>16000</v>
      </c>
      <c r="J628" s="11"/>
      <c r="K628" s="29">
        <f t="shared" si="71"/>
        <v>8046.5454545454122</v>
      </c>
      <c r="L628" s="15">
        <v>10.45</v>
      </c>
      <c r="M628" s="15">
        <v>12.75</v>
      </c>
      <c r="N628" s="16">
        <f t="shared" si="69"/>
        <v>371200</v>
      </c>
      <c r="O628" s="17">
        <f t="shared" si="70"/>
        <v>337454.54545454541</v>
      </c>
      <c r="P628" s="18">
        <f t="shared" si="68"/>
        <v>329408</v>
      </c>
    </row>
    <row r="629" spans="1:16" x14ac:dyDescent="0.3">
      <c r="A629" s="7">
        <v>45491</v>
      </c>
      <c r="B629" s="8" t="s">
        <v>43</v>
      </c>
      <c r="C629" s="9">
        <v>9.4600000000000009</v>
      </c>
      <c r="D629" s="9">
        <v>11.128</v>
      </c>
      <c r="E629" s="36"/>
      <c r="F629" s="36"/>
      <c r="G629" s="20" t="s">
        <v>48</v>
      </c>
      <c r="H629" s="12">
        <v>12000</v>
      </c>
      <c r="I629" s="13"/>
      <c r="J629" s="11"/>
      <c r="K629" s="29">
        <f>O629-P629</f>
        <v>479.99999999995634</v>
      </c>
      <c r="L629" s="15">
        <v>10.45</v>
      </c>
      <c r="M629" s="15"/>
      <c r="N629" s="16">
        <f t="shared" si="69"/>
        <v>125399.99999999999</v>
      </c>
      <c r="O629" s="17">
        <f t="shared" si="70"/>
        <v>113999.99999999997</v>
      </c>
      <c r="P629" s="18">
        <f t="shared" si="68"/>
        <v>113520.00000000001</v>
      </c>
    </row>
    <row r="630" spans="1:16" x14ac:dyDescent="0.3">
      <c r="A630" s="7">
        <v>45491</v>
      </c>
      <c r="B630" s="8" t="s">
        <v>43</v>
      </c>
      <c r="C630" s="9">
        <v>9.4600000000000009</v>
      </c>
      <c r="D630" s="9">
        <v>11.128</v>
      </c>
      <c r="E630" s="36"/>
      <c r="F630" s="36"/>
      <c r="G630" s="20" t="s">
        <v>48</v>
      </c>
      <c r="H630" s="12">
        <v>33000</v>
      </c>
      <c r="I630" s="13"/>
      <c r="J630" s="11"/>
      <c r="K630" s="29">
        <f>O630-P630</f>
        <v>1320</v>
      </c>
      <c r="L630" s="15">
        <v>10.45</v>
      </c>
      <c r="M630" s="15"/>
      <c r="N630" s="16">
        <f t="shared" si="69"/>
        <v>344850</v>
      </c>
      <c r="O630" s="17">
        <f t="shared" si="70"/>
        <v>313500</v>
      </c>
      <c r="P630" s="18">
        <f t="shared" si="68"/>
        <v>312180</v>
      </c>
    </row>
    <row r="631" spans="1:16" x14ac:dyDescent="0.3">
      <c r="A631" s="7">
        <v>45491</v>
      </c>
      <c r="B631" s="8" t="s">
        <v>43</v>
      </c>
      <c r="C631" s="9">
        <v>9.4600000000000009</v>
      </c>
      <c r="D631" s="9">
        <v>11.128</v>
      </c>
      <c r="E631" s="36"/>
      <c r="F631" s="36"/>
      <c r="G631" s="20" t="s">
        <v>48</v>
      </c>
      <c r="H631" s="12">
        <v>33000</v>
      </c>
      <c r="I631" s="13"/>
      <c r="J631" s="11"/>
      <c r="K631" s="14">
        <f t="shared" si="71"/>
        <v>1320</v>
      </c>
      <c r="L631" s="15">
        <v>10.45</v>
      </c>
      <c r="M631" s="15"/>
      <c r="N631" s="16">
        <f t="shared" si="69"/>
        <v>344850</v>
      </c>
      <c r="O631" s="17">
        <f t="shared" si="70"/>
        <v>313500</v>
      </c>
      <c r="P631" s="18">
        <f t="shared" si="68"/>
        <v>312180</v>
      </c>
    </row>
    <row r="632" spans="1:16" x14ac:dyDescent="0.3">
      <c r="A632" s="7">
        <v>45491</v>
      </c>
      <c r="B632" s="8" t="s">
        <v>43</v>
      </c>
      <c r="C632" s="9">
        <v>9.4600000000000009</v>
      </c>
      <c r="D632" s="9">
        <v>11.128</v>
      </c>
      <c r="E632" s="36"/>
      <c r="F632" s="36"/>
      <c r="G632" s="20" t="s">
        <v>38</v>
      </c>
      <c r="H632" s="12">
        <v>15000</v>
      </c>
      <c r="I632" s="13"/>
      <c r="J632" s="11"/>
      <c r="K632" s="29">
        <f t="shared" si="71"/>
        <v>600</v>
      </c>
      <c r="L632" s="15">
        <v>10.45</v>
      </c>
      <c r="M632" s="15"/>
      <c r="N632" s="16">
        <f t="shared" si="69"/>
        <v>156750</v>
      </c>
      <c r="O632" s="17">
        <f t="shared" si="70"/>
        <v>142500</v>
      </c>
      <c r="P632" s="18">
        <f t="shared" si="68"/>
        <v>141900</v>
      </c>
    </row>
    <row r="633" spans="1:16" x14ac:dyDescent="0.3">
      <c r="A633" s="7">
        <v>45491</v>
      </c>
      <c r="B633" s="8" t="s">
        <v>43</v>
      </c>
      <c r="C633" s="9">
        <v>9.4600000000000009</v>
      </c>
      <c r="D633" s="9">
        <v>11.128</v>
      </c>
      <c r="E633" s="36"/>
      <c r="F633" s="36"/>
      <c r="G633" s="20" t="s">
        <v>38</v>
      </c>
      <c r="H633" s="12">
        <v>15000</v>
      </c>
      <c r="I633" s="13"/>
      <c r="J633" s="11"/>
      <c r="K633" s="29">
        <f t="shared" si="71"/>
        <v>600</v>
      </c>
      <c r="L633" s="15">
        <v>10.45</v>
      </c>
      <c r="M633" s="15"/>
      <c r="N633" s="16">
        <f t="shared" si="69"/>
        <v>156750</v>
      </c>
      <c r="O633" s="17">
        <f t="shared" si="70"/>
        <v>142500</v>
      </c>
      <c r="P633" s="18">
        <f t="shared" si="68"/>
        <v>141900</v>
      </c>
    </row>
    <row r="634" spans="1:16" x14ac:dyDescent="0.3">
      <c r="A634" s="7">
        <v>45491</v>
      </c>
      <c r="B634" s="8" t="s">
        <v>43</v>
      </c>
      <c r="C634" s="9">
        <v>9.4600000000000009</v>
      </c>
      <c r="D634" s="9">
        <v>11.128</v>
      </c>
      <c r="E634" s="36"/>
      <c r="F634" s="36"/>
      <c r="G634" s="11" t="s">
        <v>37</v>
      </c>
      <c r="H634" s="12"/>
      <c r="I634" s="13">
        <v>15000</v>
      </c>
      <c r="J634" s="11"/>
      <c r="K634" s="29">
        <f t="shared" si="71"/>
        <v>2852.7272727272648</v>
      </c>
      <c r="L634" s="15">
        <v>0</v>
      </c>
      <c r="M634" s="15">
        <v>12.45</v>
      </c>
      <c r="N634" s="16">
        <f t="shared" si="69"/>
        <v>186750</v>
      </c>
      <c r="O634" s="17">
        <f t="shared" si="70"/>
        <v>169772.72727272726</v>
      </c>
      <c r="P634" s="18">
        <f t="shared" si="68"/>
        <v>166920</v>
      </c>
    </row>
    <row r="635" spans="1:16" x14ac:dyDescent="0.3">
      <c r="A635" s="7">
        <v>45491</v>
      </c>
      <c r="B635" s="8" t="s">
        <v>43</v>
      </c>
      <c r="C635" s="9">
        <v>9.4600000000000009</v>
      </c>
      <c r="D635" s="9">
        <v>11.128</v>
      </c>
      <c r="E635" s="36"/>
      <c r="F635" s="36"/>
      <c r="G635" s="20" t="s">
        <v>17</v>
      </c>
      <c r="H635" s="12">
        <v>17000</v>
      </c>
      <c r="I635" s="13"/>
      <c r="J635" s="11"/>
      <c r="K635" s="29">
        <f t="shared" si="71"/>
        <v>680</v>
      </c>
      <c r="L635" s="15">
        <v>10.45</v>
      </c>
      <c r="M635" s="15"/>
      <c r="N635" s="16">
        <f t="shared" si="69"/>
        <v>177650</v>
      </c>
      <c r="O635" s="17">
        <f t="shared" si="70"/>
        <v>161500</v>
      </c>
      <c r="P635" s="18">
        <f t="shared" si="68"/>
        <v>160820</v>
      </c>
    </row>
    <row r="636" spans="1:16" x14ac:dyDescent="0.3">
      <c r="A636" s="7">
        <v>45492</v>
      </c>
      <c r="B636" s="8" t="s">
        <v>43</v>
      </c>
      <c r="C636" s="9">
        <v>9.4600000000000009</v>
      </c>
      <c r="D636" s="9">
        <v>11.128</v>
      </c>
      <c r="E636" s="36">
        <v>107000</v>
      </c>
      <c r="F636" s="36">
        <v>81000</v>
      </c>
      <c r="G636" s="20" t="s">
        <v>26</v>
      </c>
      <c r="H636" s="12">
        <v>26000</v>
      </c>
      <c r="I636" s="13">
        <v>6000</v>
      </c>
      <c r="J636" s="11"/>
      <c r="K636" s="29">
        <f t="shared" si="71"/>
        <v>52835.636363636353</v>
      </c>
      <c r="L636" s="15">
        <v>12.18</v>
      </c>
      <c r="M636" s="15">
        <v>14.24</v>
      </c>
      <c r="N636" s="16">
        <f t="shared" si="69"/>
        <v>402120</v>
      </c>
      <c r="O636" s="17">
        <f t="shared" si="70"/>
        <v>365563.63636363635</v>
      </c>
      <c r="P636" s="18">
        <f t="shared" si="68"/>
        <v>312728</v>
      </c>
    </row>
    <row r="637" spans="1:16" x14ac:dyDescent="0.3">
      <c r="A637" s="7">
        <v>45492</v>
      </c>
      <c r="B637" s="8" t="s">
        <v>43</v>
      </c>
      <c r="C637" s="9">
        <v>9.4600000000000009</v>
      </c>
      <c r="D637" s="9">
        <v>11.128</v>
      </c>
      <c r="E637" s="36"/>
      <c r="F637" s="36"/>
      <c r="G637" s="20" t="s">
        <v>32</v>
      </c>
      <c r="H637" s="12">
        <v>23000</v>
      </c>
      <c r="I637" s="13">
        <v>10000</v>
      </c>
      <c r="J637" s="11"/>
      <c r="K637" s="29">
        <f>O637-P637</f>
        <v>5549.0909090908826</v>
      </c>
      <c r="L637" s="15">
        <v>10.45</v>
      </c>
      <c r="M637" s="15">
        <v>12.75</v>
      </c>
      <c r="N637" s="16">
        <f t="shared" si="69"/>
        <v>367850</v>
      </c>
      <c r="O637" s="17">
        <f t="shared" si="70"/>
        <v>334409.09090909088</v>
      </c>
      <c r="P637" s="18">
        <f t="shared" si="68"/>
        <v>328860</v>
      </c>
    </row>
    <row r="638" spans="1:16" x14ac:dyDescent="0.3">
      <c r="A638" s="7">
        <v>45492</v>
      </c>
      <c r="B638" s="8" t="s">
        <v>43</v>
      </c>
      <c r="C638" s="9">
        <v>9.4600000000000009</v>
      </c>
      <c r="D638" s="9">
        <v>11.128</v>
      </c>
      <c r="E638" s="36"/>
      <c r="F638" s="36"/>
      <c r="G638" s="20" t="s">
        <v>17</v>
      </c>
      <c r="H638" s="12"/>
      <c r="I638" s="13">
        <v>17000</v>
      </c>
      <c r="J638" s="11"/>
      <c r="K638" s="29">
        <f t="shared" ref="K638:K691" si="72">O638-P638</f>
        <v>5551.2727272727061</v>
      </c>
      <c r="L638" s="15"/>
      <c r="M638" s="15">
        <v>12.6</v>
      </c>
      <c r="N638" s="16">
        <f t="shared" si="69"/>
        <v>214200</v>
      </c>
      <c r="O638" s="17">
        <f t="shared" si="70"/>
        <v>194727.27272727271</v>
      </c>
      <c r="P638" s="18">
        <f t="shared" si="68"/>
        <v>189176</v>
      </c>
    </row>
    <row r="639" spans="1:16" x14ac:dyDescent="0.3">
      <c r="A639" s="7">
        <v>45492</v>
      </c>
      <c r="B639" s="8" t="s">
        <v>43</v>
      </c>
      <c r="C639" s="9">
        <v>9.4600000000000009</v>
      </c>
      <c r="D639" s="9">
        <v>11.128</v>
      </c>
      <c r="E639" s="36"/>
      <c r="F639" s="36"/>
      <c r="G639" s="11" t="s">
        <v>34</v>
      </c>
      <c r="H639" s="12"/>
      <c r="I639" s="13">
        <v>14000</v>
      </c>
      <c r="J639" s="11"/>
      <c r="K639" s="29">
        <f t="shared" si="72"/>
        <v>6098.9090909090883</v>
      </c>
      <c r="L639" s="15"/>
      <c r="M639" s="15">
        <v>12.72</v>
      </c>
      <c r="N639" s="16">
        <f t="shared" si="69"/>
        <v>178080</v>
      </c>
      <c r="O639" s="17">
        <f t="shared" si="70"/>
        <v>161890.90909090909</v>
      </c>
      <c r="P639" s="18">
        <f t="shared" si="68"/>
        <v>155792</v>
      </c>
    </row>
    <row r="640" spans="1:16" x14ac:dyDescent="0.3">
      <c r="A640" s="7">
        <v>45492</v>
      </c>
      <c r="B640" s="8" t="s">
        <v>43</v>
      </c>
      <c r="C640" s="9">
        <v>9.4600000000000009</v>
      </c>
      <c r="D640" s="9">
        <v>11.128</v>
      </c>
      <c r="E640" s="36"/>
      <c r="F640" s="36"/>
      <c r="G640" s="20" t="s">
        <v>21</v>
      </c>
      <c r="H640" s="12">
        <v>18000</v>
      </c>
      <c r="I640" s="13">
        <v>4000</v>
      </c>
      <c r="J640" s="11"/>
      <c r="K640" s="29">
        <f t="shared" si="72"/>
        <v>32171.636363636324</v>
      </c>
      <c r="L640" s="15">
        <v>11.95</v>
      </c>
      <c r="M640" s="15">
        <v>14.14</v>
      </c>
      <c r="N640" s="16">
        <f t="shared" si="69"/>
        <v>271660</v>
      </c>
      <c r="O640" s="17">
        <f t="shared" si="70"/>
        <v>246963.63636363635</v>
      </c>
      <c r="P640" s="18">
        <f t="shared" si="68"/>
        <v>214792.00000000003</v>
      </c>
    </row>
    <row r="641" spans="1:16" x14ac:dyDescent="0.3">
      <c r="A641" s="7">
        <v>45492</v>
      </c>
      <c r="B641" s="8" t="s">
        <v>43</v>
      </c>
      <c r="C641" s="9">
        <v>9.4600000000000009</v>
      </c>
      <c r="D641" s="9">
        <v>11.128</v>
      </c>
      <c r="E641" s="36"/>
      <c r="F641" s="36"/>
      <c r="G641" s="20" t="s">
        <v>23</v>
      </c>
      <c r="H641" s="12">
        <v>10000</v>
      </c>
      <c r="I641" s="13"/>
      <c r="J641" s="11"/>
      <c r="K641" s="29">
        <f t="shared" si="72"/>
        <v>13309.090909090868</v>
      </c>
      <c r="L641" s="15">
        <v>11.87</v>
      </c>
      <c r="M641" s="15">
        <v>14.11</v>
      </c>
      <c r="N641" s="16">
        <f t="shared" si="69"/>
        <v>118699.99999999999</v>
      </c>
      <c r="O641" s="17">
        <f t="shared" si="70"/>
        <v>107909.09090909088</v>
      </c>
      <c r="P641" s="18">
        <f t="shared" si="68"/>
        <v>94600.000000000015</v>
      </c>
    </row>
    <row r="642" spans="1:16" x14ac:dyDescent="0.3">
      <c r="A642" s="7">
        <v>45492</v>
      </c>
      <c r="B642" s="8" t="s">
        <v>43</v>
      </c>
      <c r="C642" s="9">
        <v>9.4600000000000009</v>
      </c>
      <c r="D642" s="9">
        <v>11.128</v>
      </c>
      <c r="E642" s="36"/>
      <c r="F642" s="36"/>
      <c r="G642" s="20" t="s">
        <v>48</v>
      </c>
      <c r="H642" s="12">
        <v>15000</v>
      </c>
      <c r="I642" s="13"/>
      <c r="J642" s="11"/>
      <c r="K642" s="29">
        <f t="shared" si="72"/>
        <v>600</v>
      </c>
      <c r="L642" s="15">
        <v>10.45</v>
      </c>
      <c r="M642" s="15"/>
      <c r="N642" s="16">
        <f t="shared" si="69"/>
        <v>156750</v>
      </c>
      <c r="O642" s="17">
        <f t="shared" si="70"/>
        <v>142500</v>
      </c>
      <c r="P642" s="18">
        <f t="shared" si="68"/>
        <v>141900</v>
      </c>
    </row>
    <row r="643" spans="1:16" x14ac:dyDescent="0.3">
      <c r="A643" s="7">
        <v>45492</v>
      </c>
      <c r="B643" s="8" t="s">
        <v>43</v>
      </c>
      <c r="C643" s="9">
        <v>9.4600000000000009</v>
      </c>
      <c r="D643" s="9">
        <v>11.128</v>
      </c>
      <c r="E643" s="36"/>
      <c r="F643" s="36"/>
      <c r="G643" s="11" t="s">
        <v>37</v>
      </c>
      <c r="H643" s="12"/>
      <c r="I643" s="13">
        <v>15000</v>
      </c>
      <c r="J643" s="11"/>
      <c r="K643" s="29">
        <f t="shared" si="72"/>
        <v>2852.7272727272648</v>
      </c>
      <c r="L643" s="15"/>
      <c r="M643" s="15">
        <v>12.45</v>
      </c>
      <c r="N643" s="16">
        <f t="shared" si="69"/>
        <v>186750</v>
      </c>
      <c r="O643" s="17">
        <f t="shared" si="70"/>
        <v>169772.72727272726</v>
      </c>
      <c r="P643" s="18">
        <f t="shared" si="68"/>
        <v>166920</v>
      </c>
    </row>
    <row r="644" spans="1:16" x14ac:dyDescent="0.3">
      <c r="A644" s="7">
        <v>45492</v>
      </c>
      <c r="B644" s="8" t="s">
        <v>43</v>
      </c>
      <c r="C644" s="9">
        <v>9.4600000000000009</v>
      </c>
      <c r="D644" s="9">
        <v>11.128</v>
      </c>
      <c r="E644" s="36"/>
      <c r="F644" s="36"/>
      <c r="G644" s="20" t="s">
        <v>47</v>
      </c>
      <c r="H644" s="12">
        <v>15000</v>
      </c>
      <c r="I644" s="13">
        <v>15000</v>
      </c>
      <c r="J644" s="11"/>
      <c r="K644" s="14">
        <f t="shared" si="72"/>
        <v>5225.4545454545296</v>
      </c>
      <c r="L644" s="15">
        <v>10.43</v>
      </c>
      <c r="M644" s="15">
        <v>12.6</v>
      </c>
      <c r="N644" s="16">
        <f t="shared" si="69"/>
        <v>345450</v>
      </c>
      <c r="O644" s="17">
        <f t="shared" si="70"/>
        <v>314045.45454545453</v>
      </c>
      <c r="P644" s="18">
        <f t="shared" si="68"/>
        <v>308820</v>
      </c>
    </row>
    <row r="645" spans="1:16" x14ac:dyDescent="0.3">
      <c r="A645" s="7">
        <v>45495</v>
      </c>
      <c r="B645" s="8" t="s">
        <v>43</v>
      </c>
      <c r="C645" s="9">
        <v>9.4600000000000009</v>
      </c>
      <c r="D645" s="9">
        <v>11.128</v>
      </c>
      <c r="E645" s="36">
        <v>134000</v>
      </c>
      <c r="F645" s="36">
        <v>44000</v>
      </c>
      <c r="G645" s="11" t="s">
        <v>28</v>
      </c>
      <c r="H645" s="12">
        <v>10000</v>
      </c>
      <c r="I645" s="13">
        <v>10000</v>
      </c>
      <c r="J645" s="11"/>
      <c r="K645" s="29">
        <f t="shared" si="72"/>
        <v>30574.545454545441</v>
      </c>
      <c r="L645" s="15">
        <v>11.96</v>
      </c>
      <c r="M645" s="15">
        <v>14.05</v>
      </c>
      <c r="N645" s="16">
        <f t="shared" si="69"/>
        <v>260100</v>
      </c>
      <c r="O645" s="17">
        <f t="shared" si="70"/>
        <v>236454.54545454544</v>
      </c>
      <c r="P645" s="18">
        <f t="shared" si="68"/>
        <v>205880</v>
      </c>
    </row>
    <row r="646" spans="1:16" x14ac:dyDescent="0.3">
      <c r="A646" s="7">
        <v>45495</v>
      </c>
      <c r="B646" s="8" t="s">
        <v>43</v>
      </c>
      <c r="C646" s="9">
        <v>9.4600000000000009</v>
      </c>
      <c r="D646" s="9">
        <v>11.128</v>
      </c>
      <c r="E646" s="36"/>
      <c r="F646" s="36"/>
      <c r="G646" s="11" t="s">
        <v>29</v>
      </c>
      <c r="H646" s="12">
        <v>10000</v>
      </c>
      <c r="I646" s="13">
        <v>2000</v>
      </c>
      <c r="J646" s="11"/>
      <c r="K646" s="29">
        <f t="shared" si="72"/>
        <v>17143.999999999985</v>
      </c>
      <c r="L646" s="15">
        <v>11.92</v>
      </c>
      <c r="M646" s="15">
        <v>14.1</v>
      </c>
      <c r="N646" s="16">
        <f t="shared" si="69"/>
        <v>147400</v>
      </c>
      <c r="O646" s="17">
        <f t="shared" si="70"/>
        <v>134000</v>
      </c>
      <c r="P646" s="18">
        <f t="shared" si="68"/>
        <v>116856.00000000001</v>
      </c>
    </row>
    <row r="647" spans="1:16" x14ac:dyDescent="0.3">
      <c r="A647" s="7">
        <v>45495</v>
      </c>
      <c r="B647" s="8" t="s">
        <v>43</v>
      </c>
      <c r="C647" s="9">
        <v>9.4600000000000009</v>
      </c>
      <c r="D647" s="9">
        <v>11.128</v>
      </c>
      <c r="E647" s="36"/>
      <c r="F647" s="36"/>
      <c r="G647" s="20" t="s">
        <v>17</v>
      </c>
      <c r="H647" s="12">
        <v>4000</v>
      </c>
      <c r="I647" s="13">
        <v>13000</v>
      </c>
      <c r="J647" s="11"/>
      <c r="K647" s="29">
        <f t="shared" si="72"/>
        <v>4405.0909090908826</v>
      </c>
      <c r="L647" s="15">
        <v>10.45</v>
      </c>
      <c r="M647" s="15">
        <v>12.6</v>
      </c>
      <c r="N647" s="16">
        <f t="shared" si="69"/>
        <v>205600</v>
      </c>
      <c r="O647" s="17">
        <f t="shared" si="70"/>
        <v>186909.09090909088</v>
      </c>
      <c r="P647" s="18">
        <f t="shared" si="68"/>
        <v>182504</v>
      </c>
    </row>
    <row r="648" spans="1:16" x14ac:dyDescent="0.3">
      <c r="A648" s="7">
        <v>45495</v>
      </c>
      <c r="B648" s="8" t="s">
        <v>43</v>
      </c>
      <c r="C648" s="9">
        <v>9.4600000000000009</v>
      </c>
      <c r="D648" s="9">
        <v>11.128</v>
      </c>
      <c r="E648" s="36"/>
      <c r="F648" s="36"/>
      <c r="G648" s="20" t="s">
        <v>25</v>
      </c>
      <c r="H648" s="12">
        <v>10000</v>
      </c>
      <c r="I648" s="13">
        <v>1000</v>
      </c>
      <c r="J648" s="11"/>
      <c r="K648" s="29">
        <f t="shared" si="72"/>
        <v>17235.636363636339</v>
      </c>
      <c r="L648" s="15">
        <v>12.1</v>
      </c>
      <c r="M648" s="15">
        <v>14.26</v>
      </c>
      <c r="N648" s="16">
        <f t="shared" si="69"/>
        <v>135260</v>
      </c>
      <c r="O648" s="17">
        <f t="shared" si="70"/>
        <v>122963.63636363635</v>
      </c>
      <c r="P648" s="18">
        <f t="shared" si="68"/>
        <v>105728.00000000001</v>
      </c>
    </row>
    <row r="649" spans="1:16" hidden="1" x14ac:dyDescent="0.3">
      <c r="A649" s="7">
        <v>45495</v>
      </c>
      <c r="B649" s="8" t="s">
        <v>43</v>
      </c>
      <c r="C649" s="9">
        <v>9.4600000000000009</v>
      </c>
      <c r="D649" s="9">
        <v>11.128</v>
      </c>
      <c r="E649" s="36"/>
      <c r="F649" s="36"/>
      <c r="G649" s="20" t="s">
        <v>22</v>
      </c>
      <c r="H649" s="12">
        <v>5000</v>
      </c>
      <c r="I649" s="13">
        <v>0</v>
      </c>
      <c r="J649" s="11"/>
      <c r="K649" s="29">
        <f t="shared" si="72"/>
        <v>-47300.000000000007</v>
      </c>
      <c r="L649" s="15"/>
      <c r="M649" s="15"/>
      <c r="N649" s="16">
        <f t="shared" si="69"/>
        <v>0</v>
      </c>
      <c r="O649" s="17">
        <f t="shared" si="70"/>
        <v>0</v>
      </c>
      <c r="P649" s="18">
        <f t="shared" si="68"/>
        <v>47300.000000000007</v>
      </c>
    </row>
    <row r="650" spans="1:16" x14ac:dyDescent="0.3">
      <c r="A650" s="7">
        <v>45495</v>
      </c>
      <c r="B650" s="8" t="s">
        <v>43</v>
      </c>
      <c r="C650" s="9">
        <v>9.4600000000000009</v>
      </c>
      <c r="D650" s="9">
        <v>11.128</v>
      </c>
      <c r="E650" s="36"/>
      <c r="F650" s="36"/>
      <c r="G650" s="20" t="s">
        <v>32</v>
      </c>
      <c r="H650" s="12">
        <v>33000</v>
      </c>
      <c r="I650" s="13"/>
      <c r="J650" s="11"/>
      <c r="K650" s="29">
        <f t="shared" si="72"/>
        <v>1320</v>
      </c>
      <c r="L650" s="15">
        <v>10.45</v>
      </c>
      <c r="M650" s="15">
        <v>12.75</v>
      </c>
      <c r="N650" s="16">
        <f t="shared" si="69"/>
        <v>344850</v>
      </c>
      <c r="O650" s="17">
        <f t="shared" si="70"/>
        <v>313500</v>
      </c>
      <c r="P650" s="18">
        <f t="shared" ref="P650:P690" si="73">(C650*H650)+(I650*D650)</f>
        <v>312180</v>
      </c>
    </row>
    <row r="651" spans="1:16" x14ac:dyDescent="0.3">
      <c r="A651" s="7">
        <v>45495</v>
      </c>
      <c r="B651" s="8" t="s">
        <v>43</v>
      </c>
      <c r="C651" s="9">
        <v>9.4600000000000009</v>
      </c>
      <c r="D651" s="9">
        <v>11.128</v>
      </c>
      <c r="E651" s="36"/>
      <c r="F651" s="36"/>
      <c r="G651" s="20" t="s">
        <v>32</v>
      </c>
      <c r="H651" s="12">
        <v>33000</v>
      </c>
      <c r="I651" s="13"/>
      <c r="J651" s="11"/>
      <c r="K651" s="29">
        <f t="shared" si="72"/>
        <v>1320</v>
      </c>
      <c r="L651" s="15">
        <v>10.45</v>
      </c>
      <c r="M651" s="15">
        <v>12.75</v>
      </c>
      <c r="N651" s="16">
        <f t="shared" si="69"/>
        <v>344850</v>
      </c>
      <c r="O651" s="17">
        <f t="shared" si="70"/>
        <v>313500</v>
      </c>
      <c r="P651" s="18">
        <f t="shared" si="73"/>
        <v>312180</v>
      </c>
    </row>
    <row r="652" spans="1:16" x14ac:dyDescent="0.3">
      <c r="A652" s="7">
        <v>45495</v>
      </c>
      <c r="B652" s="8" t="s">
        <v>43</v>
      </c>
      <c r="C652" s="9">
        <v>9.4600000000000009</v>
      </c>
      <c r="D652" s="9">
        <v>11.128</v>
      </c>
      <c r="E652" s="36"/>
      <c r="F652" s="36"/>
      <c r="G652" s="20" t="s">
        <v>17</v>
      </c>
      <c r="H652" s="12">
        <v>7000</v>
      </c>
      <c r="I652" s="13"/>
      <c r="J652" s="11"/>
      <c r="K652" s="29">
        <f t="shared" si="72"/>
        <v>280</v>
      </c>
      <c r="L652" s="15">
        <v>10.45</v>
      </c>
      <c r="M652" s="15"/>
      <c r="N652" s="16">
        <f t="shared" si="69"/>
        <v>73150</v>
      </c>
      <c r="O652" s="17">
        <f t="shared" si="70"/>
        <v>66500</v>
      </c>
      <c r="P652" s="18">
        <f t="shared" si="73"/>
        <v>66220</v>
      </c>
    </row>
    <row r="653" spans="1:16" x14ac:dyDescent="0.3">
      <c r="A653" s="7">
        <v>45495</v>
      </c>
      <c r="B653" s="8" t="s">
        <v>43</v>
      </c>
      <c r="C653" s="9">
        <v>9.4600000000000009</v>
      </c>
      <c r="D653" s="9">
        <v>11.128</v>
      </c>
      <c r="E653" s="36"/>
      <c r="F653" s="36"/>
      <c r="G653" s="11" t="s">
        <v>30</v>
      </c>
      <c r="H653" s="12">
        <v>7000</v>
      </c>
      <c r="I653" s="13"/>
      <c r="J653" s="11"/>
      <c r="K653" s="29">
        <f t="shared" si="72"/>
        <v>3143.6363636363531</v>
      </c>
      <c r="L653" s="15">
        <v>10.9</v>
      </c>
      <c r="M653" s="15"/>
      <c r="N653" s="16">
        <f t="shared" si="69"/>
        <v>76300</v>
      </c>
      <c r="O653" s="17">
        <f t="shared" si="70"/>
        <v>69363.636363636353</v>
      </c>
      <c r="P653" s="18">
        <f t="shared" si="73"/>
        <v>66220</v>
      </c>
    </row>
    <row r="654" spans="1:16" x14ac:dyDescent="0.3">
      <c r="A654" s="7">
        <v>45495</v>
      </c>
      <c r="B654" s="8" t="s">
        <v>43</v>
      </c>
      <c r="C654" s="9">
        <v>9.4600000000000009</v>
      </c>
      <c r="D654" s="9">
        <v>11.128</v>
      </c>
      <c r="E654" s="36"/>
      <c r="F654" s="36"/>
      <c r="G654" s="20" t="s">
        <v>23</v>
      </c>
      <c r="H654" s="12"/>
      <c r="I654" s="13">
        <v>3000</v>
      </c>
      <c r="J654" s="11"/>
      <c r="K654" s="29">
        <f t="shared" si="72"/>
        <v>5097.8181818181765</v>
      </c>
      <c r="L654" s="15">
        <v>11.87</v>
      </c>
      <c r="M654" s="15">
        <v>14.11</v>
      </c>
      <c r="N654" s="16">
        <f t="shared" si="69"/>
        <v>42330</v>
      </c>
      <c r="O654" s="17">
        <f t="shared" si="70"/>
        <v>38481.818181818177</v>
      </c>
      <c r="P654" s="18">
        <f t="shared" si="73"/>
        <v>33384</v>
      </c>
    </row>
    <row r="655" spans="1:16" x14ac:dyDescent="0.3">
      <c r="A655" s="7">
        <v>45495</v>
      </c>
      <c r="B655" s="8" t="s">
        <v>43</v>
      </c>
      <c r="C655" s="9">
        <v>9.4600000000000009</v>
      </c>
      <c r="D655" s="9">
        <v>11.128</v>
      </c>
      <c r="E655" s="36"/>
      <c r="F655" s="36"/>
      <c r="G655" s="11" t="s">
        <v>37</v>
      </c>
      <c r="H655" s="12"/>
      <c r="I655" s="13">
        <v>15000</v>
      </c>
      <c r="J655" s="11"/>
      <c r="K655" s="29">
        <f t="shared" si="72"/>
        <v>2852.7272727272648</v>
      </c>
      <c r="L655" s="15"/>
      <c r="M655" s="15">
        <v>12.45</v>
      </c>
      <c r="N655" s="16">
        <f t="shared" si="69"/>
        <v>186750</v>
      </c>
      <c r="O655" s="17">
        <f t="shared" si="70"/>
        <v>169772.72727272726</v>
      </c>
      <c r="P655" s="18">
        <f t="shared" si="73"/>
        <v>166920</v>
      </c>
    </row>
    <row r="656" spans="1:16" x14ac:dyDescent="0.3">
      <c r="A656" s="7">
        <v>45495</v>
      </c>
      <c r="B656" s="8" t="s">
        <v>43</v>
      </c>
      <c r="C656" s="9">
        <v>9.4600000000000009</v>
      </c>
      <c r="D656" s="9">
        <v>11.128</v>
      </c>
      <c r="E656" s="36"/>
      <c r="F656" s="36"/>
      <c r="G656" s="20" t="s">
        <v>48</v>
      </c>
      <c r="H656" s="12">
        <v>15000</v>
      </c>
      <c r="I656" s="13"/>
      <c r="J656" s="11"/>
      <c r="K656" s="29">
        <f t="shared" si="72"/>
        <v>600</v>
      </c>
      <c r="L656" s="15">
        <v>10.45</v>
      </c>
      <c r="M656" s="15"/>
      <c r="N656" s="16">
        <f t="shared" si="69"/>
        <v>156750</v>
      </c>
      <c r="O656" s="17">
        <f t="shared" si="70"/>
        <v>142500</v>
      </c>
      <c r="P656" s="18">
        <f t="shared" si="73"/>
        <v>141900</v>
      </c>
    </row>
    <row r="657" spans="1:16" x14ac:dyDescent="0.3">
      <c r="A657" s="7">
        <v>45495</v>
      </c>
      <c r="B657" s="8" t="s">
        <v>19</v>
      </c>
      <c r="C657" s="9">
        <v>9.4600000000000009</v>
      </c>
      <c r="D657" s="9">
        <v>11.128</v>
      </c>
      <c r="E657" s="35">
        <v>3000</v>
      </c>
      <c r="F657" s="35"/>
      <c r="G657" s="11" t="s">
        <v>30</v>
      </c>
      <c r="H657" s="12">
        <v>3000</v>
      </c>
      <c r="I657" s="13"/>
      <c r="J657" s="11"/>
      <c r="K657" s="29">
        <f t="shared" si="72"/>
        <v>1347.2727272727207</v>
      </c>
      <c r="L657" s="15">
        <v>10.9</v>
      </c>
      <c r="M657" s="15"/>
      <c r="N657" s="16">
        <f t="shared" si="69"/>
        <v>32700</v>
      </c>
      <c r="O657" s="17">
        <f t="shared" si="70"/>
        <v>29727.272727272724</v>
      </c>
      <c r="P657" s="18">
        <f t="shared" si="73"/>
        <v>28380.000000000004</v>
      </c>
    </row>
    <row r="658" spans="1:16" x14ac:dyDescent="0.3">
      <c r="A658" s="7">
        <v>45495</v>
      </c>
      <c r="B658" s="8" t="s">
        <v>43</v>
      </c>
      <c r="C658" s="9">
        <v>9.4600000000000009</v>
      </c>
      <c r="D658" s="9">
        <v>11.128</v>
      </c>
      <c r="E658" s="12">
        <v>15000</v>
      </c>
      <c r="F658" s="12">
        <v>20000</v>
      </c>
      <c r="G658" s="20" t="s">
        <v>17</v>
      </c>
      <c r="H658" s="12">
        <v>15000</v>
      </c>
      <c r="I658" s="13">
        <v>20000</v>
      </c>
      <c r="J658" s="11"/>
      <c r="K658" s="29">
        <f t="shared" si="72"/>
        <v>7130.9090909090592</v>
      </c>
      <c r="L658" s="15">
        <v>10.45</v>
      </c>
      <c r="M658" s="15">
        <v>12.6</v>
      </c>
      <c r="N658" s="16">
        <f t="shared" si="69"/>
        <v>408750</v>
      </c>
      <c r="O658" s="17">
        <f t="shared" si="70"/>
        <v>371590.90909090906</v>
      </c>
      <c r="P658" s="18">
        <f t="shared" si="73"/>
        <v>364460</v>
      </c>
    </row>
    <row r="659" spans="1:16" x14ac:dyDescent="0.3">
      <c r="A659" s="7">
        <v>45496</v>
      </c>
      <c r="B659" s="8" t="s">
        <v>43</v>
      </c>
      <c r="C659" s="9">
        <v>9.4600000000000009</v>
      </c>
      <c r="D659" s="9">
        <v>11.128</v>
      </c>
      <c r="E659" s="36">
        <v>32000</v>
      </c>
      <c r="F659" s="36">
        <v>43000</v>
      </c>
      <c r="G659" s="20" t="s">
        <v>17</v>
      </c>
      <c r="H659" s="12"/>
      <c r="I659" s="13">
        <v>14000</v>
      </c>
      <c r="J659" s="11"/>
      <c r="K659" s="29">
        <f t="shared" si="72"/>
        <v>4571.6363636363531</v>
      </c>
      <c r="L659" s="15"/>
      <c r="M659" s="15">
        <v>12.6</v>
      </c>
      <c r="N659" s="16">
        <f t="shared" si="69"/>
        <v>176400</v>
      </c>
      <c r="O659" s="17">
        <f t="shared" si="70"/>
        <v>160363.63636363635</v>
      </c>
      <c r="P659" s="18">
        <f t="shared" si="73"/>
        <v>155792</v>
      </c>
    </row>
    <row r="660" spans="1:16" x14ac:dyDescent="0.3">
      <c r="A660" s="7">
        <v>45496</v>
      </c>
      <c r="B660" s="8" t="s">
        <v>43</v>
      </c>
      <c r="C660" s="9">
        <v>9.4600000000000009</v>
      </c>
      <c r="D660" s="9">
        <v>11.128</v>
      </c>
      <c r="E660" s="36"/>
      <c r="F660" s="36"/>
      <c r="G660" s="11" t="s">
        <v>37</v>
      </c>
      <c r="H660" s="12"/>
      <c r="I660" s="13">
        <v>15000</v>
      </c>
      <c r="J660" s="11"/>
      <c r="K660" s="29">
        <f t="shared" si="72"/>
        <v>2852.7272727272648</v>
      </c>
      <c r="L660" s="15"/>
      <c r="M660" s="15">
        <v>12.45</v>
      </c>
      <c r="N660" s="16">
        <f t="shared" si="69"/>
        <v>186750</v>
      </c>
      <c r="O660" s="17">
        <f t="shared" si="70"/>
        <v>169772.72727272726</v>
      </c>
      <c r="P660" s="18">
        <f t="shared" si="73"/>
        <v>166920</v>
      </c>
    </row>
    <row r="661" spans="1:16" x14ac:dyDescent="0.3">
      <c r="A661" s="7">
        <v>45497</v>
      </c>
      <c r="B661" s="8" t="s">
        <v>43</v>
      </c>
      <c r="C661" s="9">
        <v>9.4600000000000009</v>
      </c>
      <c r="D661" s="9">
        <v>11.128</v>
      </c>
      <c r="E661" s="36"/>
      <c r="F661" s="36"/>
      <c r="G661" s="11" t="s">
        <v>34</v>
      </c>
      <c r="H661" s="12"/>
      <c r="I661" s="13">
        <v>14000</v>
      </c>
      <c r="J661" s="11"/>
      <c r="K661" s="29">
        <f t="shared" si="72"/>
        <v>6098.9090909090883</v>
      </c>
      <c r="L661" s="15"/>
      <c r="M661" s="15">
        <v>12.72</v>
      </c>
      <c r="N661" s="16">
        <f t="shared" si="69"/>
        <v>178080</v>
      </c>
      <c r="O661" s="17">
        <f t="shared" si="70"/>
        <v>161890.90909090909</v>
      </c>
      <c r="P661" s="18">
        <f t="shared" si="73"/>
        <v>155792</v>
      </c>
    </row>
    <row r="662" spans="1:16" x14ac:dyDescent="0.3">
      <c r="A662" s="7">
        <v>45497</v>
      </c>
      <c r="B662" s="8" t="s">
        <v>43</v>
      </c>
      <c r="C662" s="9">
        <v>9.4600000000000009</v>
      </c>
      <c r="D662" s="9">
        <v>11.128</v>
      </c>
      <c r="E662" s="36"/>
      <c r="F662" s="36"/>
      <c r="G662" s="20" t="s">
        <v>35</v>
      </c>
      <c r="H662" s="12">
        <v>22000</v>
      </c>
      <c r="I662" s="13"/>
      <c r="J662" s="11"/>
      <c r="K662" s="29">
        <f t="shared" si="72"/>
        <v>30879.999999999942</v>
      </c>
      <c r="L662" s="15">
        <v>11.95</v>
      </c>
      <c r="M662" s="15"/>
      <c r="N662" s="16">
        <f t="shared" si="69"/>
        <v>262900</v>
      </c>
      <c r="O662" s="17">
        <f t="shared" si="70"/>
        <v>238999.99999999997</v>
      </c>
      <c r="P662" s="18">
        <f t="shared" si="73"/>
        <v>208120.00000000003</v>
      </c>
    </row>
    <row r="663" spans="1:16" hidden="1" x14ac:dyDescent="0.3">
      <c r="A663" s="7">
        <v>45497</v>
      </c>
      <c r="B663" s="8" t="s">
        <v>43</v>
      </c>
      <c r="C663" s="9">
        <v>9.4600000000000009</v>
      </c>
      <c r="D663" s="9">
        <v>11.128</v>
      </c>
      <c r="E663" s="36"/>
      <c r="F663" s="36"/>
      <c r="G663" s="20" t="s">
        <v>22</v>
      </c>
      <c r="H663" s="12">
        <v>10000</v>
      </c>
      <c r="I663" s="13"/>
      <c r="J663" s="11"/>
      <c r="K663" s="29">
        <f t="shared" si="72"/>
        <v>-94600.000000000015</v>
      </c>
      <c r="L663" s="15">
        <v>0</v>
      </c>
      <c r="M663" s="15">
        <v>0</v>
      </c>
      <c r="N663" s="16">
        <f t="shared" si="69"/>
        <v>0</v>
      </c>
      <c r="O663" s="17">
        <f t="shared" si="70"/>
        <v>0</v>
      </c>
      <c r="P663" s="18">
        <f t="shared" si="73"/>
        <v>94600.000000000015</v>
      </c>
    </row>
    <row r="664" spans="1:16" x14ac:dyDescent="0.3">
      <c r="A664" s="7">
        <v>45497</v>
      </c>
      <c r="B664" s="8" t="s">
        <v>43</v>
      </c>
      <c r="C664" s="9">
        <v>9.4600000000000009</v>
      </c>
      <c r="D664" s="9">
        <v>11.128</v>
      </c>
      <c r="E664" s="36">
        <v>43000</v>
      </c>
      <c r="F664" s="36">
        <v>54000</v>
      </c>
      <c r="G664" s="20" t="s">
        <v>17</v>
      </c>
      <c r="H664" s="12">
        <v>13000</v>
      </c>
      <c r="I664" s="13">
        <v>20000</v>
      </c>
      <c r="J664" s="11"/>
      <c r="K664" s="29">
        <f t="shared" si="72"/>
        <v>7050.9090909090592</v>
      </c>
      <c r="L664" s="15">
        <v>10.45</v>
      </c>
      <c r="M664" s="15">
        <v>12.6</v>
      </c>
      <c r="N664" s="16">
        <f t="shared" si="69"/>
        <v>387850</v>
      </c>
      <c r="O664" s="17">
        <f t="shared" si="70"/>
        <v>352590.90909090906</v>
      </c>
      <c r="P664" s="18">
        <f t="shared" si="73"/>
        <v>345540</v>
      </c>
    </row>
    <row r="665" spans="1:16" x14ac:dyDescent="0.3">
      <c r="A665" s="7">
        <v>45497</v>
      </c>
      <c r="B665" s="8" t="s">
        <v>43</v>
      </c>
      <c r="C665" s="9">
        <v>9.4600000000000009</v>
      </c>
      <c r="D665" s="9">
        <v>11.128</v>
      </c>
      <c r="E665" s="36"/>
      <c r="F665" s="36"/>
      <c r="G665" s="20" t="s">
        <v>17</v>
      </c>
      <c r="H665" s="12"/>
      <c r="I665" s="13">
        <v>17000</v>
      </c>
      <c r="J665" s="11"/>
      <c r="K665" s="29">
        <f t="shared" si="72"/>
        <v>5551.2727272727061</v>
      </c>
      <c r="L665" s="15">
        <v>10.45</v>
      </c>
      <c r="M665" s="15">
        <v>12.6</v>
      </c>
      <c r="N665" s="16">
        <f t="shared" si="69"/>
        <v>214200</v>
      </c>
      <c r="O665" s="17">
        <f t="shared" si="70"/>
        <v>194727.27272727271</v>
      </c>
      <c r="P665" s="18">
        <f t="shared" si="73"/>
        <v>189176</v>
      </c>
    </row>
    <row r="666" spans="1:16" x14ac:dyDescent="0.3">
      <c r="A666" s="7">
        <v>45497</v>
      </c>
      <c r="B666" s="8" t="s">
        <v>43</v>
      </c>
      <c r="C666" s="9">
        <v>9.4600000000000009</v>
      </c>
      <c r="D666" s="9">
        <v>11.128</v>
      </c>
      <c r="E666" s="36"/>
      <c r="F666" s="36"/>
      <c r="G666" s="11" t="s">
        <v>37</v>
      </c>
      <c r="H666" s="12"/>
      <c r="I666" s="13">
        <v>15000</v>
      </c>
      <c r="J666" s="11"/>
      <c r="K666" s="29">
        <f t="shared" si="72"/>
        <v>2852.7272727272648</v>
      </c>
      <c r="L666" s="15"/>
      <c r="M666" s="15">
        <v>12.45</v>
      </c>
      <c r="N666" s="16">
        <f t="shared" si="69"/>
        <v>186750</v>
      </c>
      <c r="O666" s="17">
        <f t="shared" si="70"/>
        <v>169772.72727272726</v>
      </c>
      <c r="P666" s="18">
        <f t="shared" si="73"/>
        <v>166920</v>
      </c>
    </row>
    <row r="667" spans="1:16" x14ac:dyDescent="0.3">
      <c r="A667" s="7">
        <v>45498</v>
      </c>
      <c r="B667" s="8" t="s">
        <v>43</v>
      </c>
      <c r="C667" s="9">
        <v>9.4600000000000009</v>
      </c>
      <c r="D667" s="9">
        <v>11.128</v>
      </c>
      <c r="E667" s="36"/>
      <c r="F667" s="36"/>
      <c r="G667" s="20" t="s">
        <v>27</v>
      </c>
      <c r="H667" s="12">
        <v>30000</v>
      </c>
      <c r="I667" s="13">
        <v>2000</v>
      </c>
      <c r="J667" s="11"/>
      <c r="K667" s="29">
        <f t="shared" si="72"/>
        <v>34180.363636363589</v>
      </c>
      <c r="L667" s="15">
        <v>11.55</v>
      </c>
      <c r="M667" s="15">
        <v>13.88</v>
      </c>
      <c r="N667" s="16">
        <f t="shared" si="69"/>
        <v>374260</v>
      </c>
      <c r="O667" s="17">
        <f t="shared" si="70"/>
        <v>340236.36363636359</v>
      </c>
      <c r="P667" s="18">
        <f t="shared" si="73"/>
        <v>306056</v>
      </c>
    </row>
    <row r="668" spans="1:16" x14ac:dyDescent="0.3">
      <c r="A668" s="7">
        <v>45497</v>
      </c>
      <c r="B668" s="8" t="s">
        <v>19</v>
      </c>
      <c r="C668" s="9">
        <v>9.4600000000000009</v>
      </c>
      <c r="D668" s="9">
        <v>11.128</v>
      </c>
      <c r="E668" s="12">
        <v>3000</v>
      </c>
      <c r="F668" s="12"/>
      <c r="G668" s="11" t="s">
        <v>30</v>
      </c>
      <c r="H668" s="12">
        <v>3000</v>
      </c>
      <c r="I668" s="13"/>
      <c r="J668" s="11"/>
      <c r="K668" s="29">
        <f t="shared" si="72"/>
        <v>1347.2727272727207</v>
      </c>
      <c r="L668" s="15">
        <v>10.9</v>
      </c>
      <c r="M668" s="15"/>
      <c r="N668" s="16">
        <f t="shared" si="69"/>
        <v>32700</v>
      </c>
      <c r="O668" s="17">
        <f t="shared" si="70"/>
        <v>29727.272727272724</v>
      </c>
      <c r="P668" s="18">
        <f t="shared" si="73"/>
        <v>28380.000000000004</v>
      </c>
    </row>
    <row r="669" spans="1:16" x14ac:dyDescent="0.3">
      <c r="A669" s="7">
        <v>45498</v>
      </c>
      <c r="B669" s="8" t="s">
        <v>43</v>
      </c>
      <c r="C669" s="9">
        <v>9.4600000000000009</v>
      </c>
      <c r="D669" s="9">
        <v>11.128</v>
      </c>
      <c r="E669" s="36">
        <v>75000</v>
      </c>
      <c r="F669" s="36">
        <v>23000</v>
      </c>
      <c r="G669" s="20" t="s">
        <v>17</v>
      </c>
      <c r="H669" s="12">
        <v>25000</v>
      </c>
      <c r="I669" s="13">
        <v>8000</v>
      </c>
      <c r="J669" s="11"/>
      <c r="K669" s="29">
        <f t="shared" si="72"/>
        <v>3612.3636363635887</v>
      </c>
      <c r="L669" s="15">
        <v>10.45</v>
      </c>
      <c r="M669" s="15">
        <v>12.6</v>
      </c>
      <c r="N669" s="16">
        <f t="shared" ref="N669:N732" si="74">(H669*L669)+(I669*M669)</f>
        <v>362050</v>
      </c>
      <c r="O669" s="17">
        <f t="shared" si="70"/>
        <v>329136.36363636359</v>
      </c>
      <c r="P669" s="18">
        <f t="shared" si="73"/>
        <v>325524</v>
      </c>
    </row>
    <row r="670" spans="1:16" x14ac:dyDescent="0.3">
      <c r="A670" s="7">
        <v>45499</v>
      </c>
      <c r="B670" s="8" t="s">
        <v>43</v>
      </c>
      <c r="C670" s="9">
        <v>9.4600000000000009</v>
      </c>
      <c r="D670" s="9">
        <v>11.128</v>
      </c>
      <c r="E670" s="36"/>
      <c r="F670" s="36"/>
      <c r="G670" s="20" t="s">
        <v>17</v>
      </c>
      <c r="H670" s="12">
        <v>33000</v>
      </c>
      <c r="I670" s="13"/>
      <c r="J670" s="11"/>
      <c r="K670" s="29">
        <f t="shared" si="72"/>
        <v>1320</v>
      </c>
      <c r="L670" s="15">
        <v>10.45</v>
      </c>
      <c r="M670" s="15">
        <v>12.6</v>
      </c>
      <c r="N670" s="16">
        <f t="shared" si="74"/>
        <v>344850</v>
      </c>
      <c r="O670" s="17">
        <f t="shared" si="70"/>
        <v>313500</v>
      </c>
      <c r="P670" s="18">
        <f t="shared" si="73"/>
        <v>312180</v>
      </c>
    </row>
    <row r="671" spans="1:16" x14ac:dyDescent="0.3">
      <c r="A671" s="7">
        <v>45498</v>
      </c>
      <c r="B671" s="8" t="s">
        <v>43</v>
      </c>
      <c r="C671" s="9">
        <v>9.4600000000000009</v>
      </c>
      <c r="D671" s="9">
        <v>11.128</v>
      </c>
      <c r="E671" s="36"/>
      <c r="F671" s="36"/>
      <c r="G671" s="11" t="s">
        <v>37</v>
      </c>
      <c r="H671" s="12">
        <v>0</v>
      </c>
      <c r="I671" s="13">
        <v>15000</v>
      </c>
      <c r="J671" s="11"/>
      <c r="K671" s="29">
        <f t="shared" si="72"/>
        <v>2852.7272727272648</v>
      </c>
      <c r="L671" s="15"/>
      <c r="M671" s="15">
        <v>12.45</v>
      </c>
      <c r="N671" s="16">
        <f t="shared" si="74"/>
        <v>186750</v>
      </c>
      <c r="O671" s="17">
        <f t="shared" si="70"/>
        <v>169772.72727272726</v>
      </c>
      <c r="P671" s="18">
        <f t="shared" si="73"/>
        <v>166920</v>
      </c>
    </row>
    <row r="672" spans="1:16" hidden="1" x14ac:dyDescent="0.3">
      <c r="A672" s="7">
        <v>45498</v>
      </c>
      <c r="B672" s="8" t="s">
        <v>43</v>
      </c>
      <c r="C672" s="9">
        <v>9.4600000000000009</v>
      </c>
      <c r="D672" s="9">
        <v>11.128</v>
      </c>
      <c r="E672" s="36"/>
      <c r="F672" s="36"/>
      <c r="G672" s="20" t="s">
        <v>22</v>
      </c>
      <c r="H672" s="12">
        <v>10000</v>
      </c>
      <c r="I672" s="13">
        <v>0</v>
      </c>
      <c r="J672" s="11"/>
      <c r="K672" s="29">
        <f t="shared" si="72"/>
        <v>-94600.000000000015</v>
      </c>
      <c r="L672" s="15"/>
      <c r="M672" s="15"/>
      <c r="N672" s="16">
        <f t="shared" si="74"/>
        <v>0</v>
      </c>
      <c r="O672" s="17">
        <f t="shared" si="70"/>
        <v>0</v>
      </c>
      <c r="P672" s="18">
        <f t="shared" si="73"/>
        <v>94600.000000000015</v>
      </c>
    </row>
    <row r="673" spans="1:16" x14ac:dyDescent="0.3">
      <c r="A673" s="7">
        <v>45498</v>
      </c>
      <c r="B673" s="8" t="s">
        <v>43</v>
      </c>
      <c r="C673" s="9">
        <v>9.4600000000000009</v>
      </c>
      <c r="D673" s="9">
        <v>11.128</v>
      </c>
      <c r="E673" s="36"/>
      <c r="F673" s="36"/>
      <c r="G673" s="20" t="s">
        <v>23</v>
      </c>
      <c r="H673" s="12">
        <v>7000</v>
      </c>
      <c r="I673" s="13">
        <v>0</v>
      </c>
      <c r="J673" s="11"/>
      <c r="K673" s="29">
        <f t="shared" si="72"/>
        <v>9316.3636363636324</v>
      </c>
      <c r="L673" s="15">
        <v>11.87</v>
      </c>
      <c r="M673" s="15">
        <v>14.11</v>
      </c>
      <c r="N673" s="16">
        <f t="shared" si="74"/>
        <v>83090</v>
      </c>
      <c r="O673" s="17">
        <f t="shared" si="70"/>
        <v>75536.363636363632</v>
      </c>
      <c r="P673" s="18">
        <f t="shared" si="73"/>
        <v>66220</v>
      </c>
    </row>
    <row r="674" spans="1:16" x14ac:dyDescent="0.3">
      <c r="A674" s="7">
        <v>45498</v>
      </c>
      <c r="B674" s="8" t="s">
        <v>19</v>
      </c>
      <c r="C674" s="9">
        <v>9.4600000000000009</v>
      </c>
      <c r="D674" s="9">
        <v>11.128</v>
      </c>
      <c r="E674" s="13">
        <v>0</v>
      </c>
      <c r="F674" s="13">
        <v>3000</v>
      </c>
      <c r="G674" s="20" t="s">
        <v>23</v>
      </c>
      <c r="H674" s="12">
        <v>0</v>
      </c>
      <c r="I674" s="13">
        <v>3000</v>
      </c>
      <c r="J674" s="11"/>
      <c r="K674" s="29">
        <f t="shared" si="72"/>
        <v>5097.8181818181765</v>
      </c>
      <c r="L674" s="15">
        <v>11.87</v>
      </c>
      <c r="M674" s="15">
        <v>14.11</v>
      </c>
      <c r="N674" s="16">
        <f t="shared" si="74"/>
        <v>42330</v>
      </c>
      <c r="O674" s="17">
        <f t="shared" si="70"/>
        <v>38481.818181818177</v>
      </c>
      <c r="P674" s="18">
        <f t="shared" si="73"/>
        <v>33384</v>
      </c>
    </row>
    <row r="675" spans="1:16" x14ac:dyDescent="0.3">
      <c r="A675" s="7">
        <v>45499</v>
      </c>
      <c r="B675" s="8" t="s">
        <v>19</v>
      </c>
      <c r="C675" s="9">
        <v>9.4600000000000009</v>
      </c>
      <c r="D675" s="9">
        <v>11.128</v>
      </c>
      <c r="E675" s="24"/>
      <c r="F675" s="24">
        <v>4000</v>
      </c>
      <c r="G675" s="20" t="s">
        <v>17</v>
      </c>
      <c r="H675" s="12"/>
      <c r="I675" s="13">
        <v>4000</v>
      </c>
      <c r="J675" s="11"/>
      <c r="K675" s="29">
        <f t="shared" si="72"/>
        <v>1306.1818181818162</v>
      </c>
      <c r="L675" s="15"/>
      <c r="M675" s="15">
        <v>12.6</v>
      </c>
      <c r="N675" s="16">
        <f t="shared" si="74"/>
        <v>50400</v>
      </c>
      <c r="O675" s="17">
        <f t="shared" si="70"/>
        <v>45818.181818181816</v>
      </c>
      <c r="P675" s="18">
        <f t="shared" si="73"/>
        <v>44512</v>
      </c>
    </row>
    <row r="676" spans="1:16" x14ac:dyDescent="0.3">
      <c r="A676" s="7">
        <v>45499</v>
      </c>
      <c r="B676" s="8" t="s">
        <v>43</v>
      </c>
      <c r="C676" s="9">
        <v>9.4600000000000009</v>
      </c>
      <c r="D676" s="9">
        <v>11.128</v>
      </c>
      <c r="E676" s="36">
        <v>87000</v>
      </c>
      <c r="F676" s="36">
        <v>59000</v>
      </c>
      <c r="G676" s="20" t="s">
        <v>32</v>
      </c>
      <c r="H676" s="12">
        <v>25000</v>
      </c>
      <c r="I676" s="13">
        <v>8000</v>
      </c>
      <c r="J676" s="11"/>
      <c r="K676" s="29">
        <f t="shared" si="72"/>
        <v>4703.2727272727061</v>
      </c>
      <c r="L676" s="15">
        <v>10.45</v>
      </c>
      <c r="M676" s="15">
        <v>12.75</v>
      </c>
      <c r="N676" s="16">
        <f t="shared" si="74"/>
        <v>363250</v>
      </c>
      <c r="O676" s="17">
        <f t="shared" si="70"/>
        <v>330227.27272727271</v>
      </c>
      <c r="P676" s="18">
        <f t="shared" si="73"/>
        <v>325524</v>
      </c>
    </row>
    <row r="677" spans="1:16" x14ac:dyDescent="0.3">
      <c r="A677" s="7">
        <v>45499</v>
      </c>
      <c r="B677" s="8" t="s">
        <v>43</v>
      </c>
      <c r="C677" s="9">
        <v>9.4600000000000009</v>
      </c>
      <c r="D677" s="9">
        <v>11.128</v>
      </c>
      <c r="E677" s="36"/>
      <c r="F677" s="36"/>
      <c r="G677" s="20" t="s">
        <v>48</v>
      </c>
      <c r="H677" s="12"/>
      <c r="I677" s="13">
        <v>15000</v>
      </c>
      <c r="J677" s="11"/>
      <c r="K677" s="29">
        <f t="shared" si="72"/>
        <v>2852.7272727272648</v>
      </c>
      <c r="L677" s="15"/>
      <c r="M677" s="15">
        <v>12.45</v>
      </c>
      <c r="N677" s="16">
        <f t="shared" si="74"/>
        <v>186750</v>
      </c>
      <c r="O677" s="17">
        <f t="shared" si="70"/>
        <v>169772.72727272726</v>
      </c>
      <c r="P677" s="18">
        <f t="shared" si="73"/>
        <v>166920</v>
      </c>
    </row>
    <row r="678" spans="1:16" hidden="1" x14ac:dyDescent="0.3">
      <c r="A678" s="7">
        <v>45499</v>
      </c>
      <c r="B678" s="8" t="s">
        <v>43</v>
      </c>
      <c r="C678" s="9">
        <v>9.4600000000000009</v>
      </c>
      <c r="D678" s="9">
        <v>11.128</v>
      </c>
      <c r="E678" s="36"/>
      <c r="F678" s="36"/>
      <c r="G678" s="20" t="s">
        <v>22</v>
      </c>
      <c r="H678" s="12">
        <v>10000</v>
      </c>
      <c r="I678" s="13">
        <v>9000</v>
      </c>
      <c r="J678" s="11"/>
      <c r="K678" s="29">
        <f t="shared" si="72"/>
        <v>-194752</v>
      </c>
      <c r="L678" s="15"/>
      <c r="M678" s="15"/>
      <c r="N678" s="16">
        <f t="shared" si="74"/>
        <v>0</v>
      </c>
      <c r="O678" s="17">
        <f t="shared" si="70"/>
        <v>0</v>
      </c>
      <c r="P678" s="18">
        <f t="shared" si="73"/>
        <v>194752</v>
      </c>
    </row>
    <row r="679" spans="1:16" x14ac:dyDescent="0.3">
      <c r="A679" s="7">
        <v>45499</v>
      </c>
      <c r="B679" s="8" t="s">
        <v>43</v>
      </c>
      <c r="C679" s="9">
        <v>9.4600000000000009</v>
      </c>
      <c r="D679" s="9">
        <v>11.128</v>
      </c>
      <c r="E679" s="36"/>
      <c r="F679" s="36"/>
      <c r="G679" s="20" t="s">
        <v>23</v>
      </c>
      <c r="H679" s="12">
        <v>10000</v>
      </c>
      <c r="I679" s="13">
        <v>4000</v>
      </c>
      <c r="J679" s="11"/>
      <c r="K679" s="29">
        <f t="shared" si="72"/>
        <v>20106.181818181794</v>
      </c>
      <c r="L679" s="15">
        <v>11.87</v>
      </c>
      <c r="M679" s="15">
        <v>14.11</v>
      </c>
      <c r="N679" s="16">
        <f t="shared" si="74"/>
        <v>175140</v>
      </c>
      <c r="O679" s="17">
        <f t="shared" si="70"/>
        <v>159218.18181818179</v>
      </c>
      <c r="P679" s="18">
        <f t="shared" si="73"/>
        <v>139112</v>
      </c>
    </row>
    <row r="680" spans="1:16" x14ac:dyDescent="0.3">
      <c r="A680" s="7">
        <v>45500</v>
      </c>
      <c r="B680" s="8" t="s">
        <v>43</v>
      </c>
      <c r="C680" s="9">
        <v>9.4600000000000009</v>
      </c>
      <c r="D680" s="9">
        <v>11.128</v>
      </c>
      <c r="E680" s="36"/>
      <c r="F680" s="36"/>
      <c r="G680" s="20" t="s">
        <v>17</v>
      </c>
      <c r="H680" s="12">
        <v>18000</v>
      </c>
      <c r="I680" s="13">
        <v>15000</v>
      </c>
      <c r="J680" s="11"/>
      <c r="K680" s="29">
        <f t="shared" si="72"/>
        <v>5618.1818181817653</v>
      </c>
      <c r="L680" s="15">
        <v>10.45</v>
      </c>
      <c r="M680" s="15">
        <v>12.6</v>
      </c>
      <c r="N680" s="16">
        <f t="shared" si="74"/>
        <v>377100</v>
      </c>
      <c r="O680" s="17">
        <f t="shared" si="70"/>
        <v>342818.18181818177</v>
      </c>
      <c r="P680" s="18">
        <f t="shared" si="73"/>
        <v>337200</v>
      </c>
    </row>
    <row r="681" spans="1:16" x14ac:dyDescent="0.3">
      <c r="A681" s="7">
        <v>45500</v>
      </c>
      <c r="B681" s="8" t="s">
        <v>43</v>
      </c>
      <c r="C681" s="9">
        <v>9.4600000000000009</v>
      </c>
      <c r="D681" s="9">
        <v>11.128</v>
      </c>
      <c r="E681" s="36"/>
      <c r="F681" s="36"/>
      <c r="G681" s="11" t="s">
        <v>36</v>
      </c>
      <c r="H681" s="12">
        <v>24000</v>
      </c>
      <c r="I681" s="13">
        <v>8000</v>
      </c>
      <c r="J681" s="11"/>
      <c r="K681" s="29">
        <f t="shared" si="72"/>
        <v>43936</v>
      </c>
      <c r="L681" s="15">
        <v>11.88</v>
      </c>
      <c r="M681" s="15">
        <v>13.86</v>
      </c>
      <c r="N681" s="16">
        <f t="shared" si="74"/>
        <v>396000</v>
      </c>
      <c r="O681" s="17">
        <f t="shared" si="70"/>
        <v>360000</v>
      </c>
      <c r="P681" s="18">
        <f t="shared" si="73"/>
        <v>316064</v>
      </c>
    </row>
    <row r="682" spans="1:16" x14ac:dyDescent="0.3">
      <c r="A682" s="7">
        <v>45502</v>
      </c>
      <c r="B682" s="8" t="s">
        <v>43</v>
      </c>
      <c r="C682" s="9">
        <v>9.4600000000000009</v>
      </c>
      <c r="D682" s="9">
        <v>11.128</v>
      </c>
      <c r="E682" s="36">
        <v>36000</v>
      </c>
      <c r="F682" s="36">
        <v>57000</v>
      </c>
      <c r="G682" s="20" t="s">
        <v>17</v>
      </c>
      <c r="H682" s="12">
        <v>6000</v>
      </c>
      <c r="I682" s="13">
        <v>11000</v>
      </c>
      <c r="J682" s="11"/>
      <c r="K682" s="29">
        <f t="shared" si="72"/>
        <v>3831.9999999999709</v>
      </c>
      <c r="L682" s="15">
        <v>10.45</v>
      </c>
      <c r="M682" s="15">
        <v>12.6</v>
      </c>
      <c r="N682" s="16">
        <f t="shared" si="74"/>
        <v>201300</v>
      </c>
      <c r="O682" s="17">
        <f t="shared" si="70"/>
        <v>182999.99999999997</v>
      </c>
      <c r="P682" s="18">
        <f t="shared" si="73"/>
        <v>179168</v>
      </c>
    </row>
    <row r="683" spans="1:16" x14ac:dyDescent="0.3">
      <c r="A683" s="7">
        <v>45502</v>
      </c>
      <c r="B683" s="8" t="s">
        <v>43</v>
      </c>
      <c r="C683" s="9">
        <v>9.4600000000000009</v>
      </c>
      <c r="D683" s="9">
        <v>11.128</v>
      </c>
      <c r="E683" s="36"/>
      <c r="F683" s="36"/>
      <c r="G683" s="20" t="s">
        <v>47</v>
      </c>
      <c r="H683" s="12">
        <v>30000</v>
      </c>
      <c r="I683" s="13"/>
      <c r="J683" s="11"/>
      <c r="K683" s="29">
        <f t="shared" si="72"/>
        <v>654.54545454541221</v>
      </c>
      <c r="L683" s="15">
        <v>10.43</v>
      </c>
      <c r="M683" s="15"/>
      <c r="N683" s="16">
        <f t="shared" si="74"/>
        <v>312900</v>
      </c>
      <c r="O683" s="17">
        <f t="shared" si="70"/>
        <v>284454.54545454541</v>
      </c>
      <c r="P683" s="18">
        <f t="shared" si="73"/>
        <v>283800</v>
      </c>
    </row>
    <row r="684" spans="1:16" x14ac:dyDescent="0.3">
      <c r="A684" s="7">
        <v>45502</v>
      </c>
      <c r="B684" s="8" t="s">
        <v>43</v>
      </c>
      <c r="C684" s="9">
        <v>9.4600000000000009</v>
      </c>
      <c r="D684" s="9">
        <v>11.128</v>
      </c>
      <c r="E684" s="36"/>
      <c r="F684" s="36"/>
      <c r="G684" s="11" t="s">
        <v>37</v>
      </c>
      <c r="H684" s="12"/>
      <c r="I684" s="13">
        <v>32000</v>
      </c>
      <c r="J684" s="11"/>
      <c r="K684" s="29">
        <f t="shared" si="72"/>
        <v>6085.8181818181765</v>
      </c>
      <c r="L684" s="15"/>
      <c r="M684" s="15">
        <v>12.45</v>
      </c>
      <c r="N684" s="16">
        <f t="shared" si="74"/>
        <v>398400</v>
      </c>
      <c r="O684" s="17">
        <f t="shared" si="70"/>
        <v>362181.81818181818</v>
      </c>
      <c r="P684" s="18">
        <f t="shared" si="73"/>
        <v>356096</v>
      </c>
    </row>
    <row r="685" spans="1:16" x14ac:dyDescent="0.3">
      <c r="A685" s="7">
        <v>45502</v>
      </c>
      <c r="B685" s="8" t="s">
        <v>43</v>
      </c>
      <c r="C685" s="9">
        <v>9.4600000000000009</v>
      </c>
      <c r="D685" s="9">
        <v>11.128</v>
      </c>
      <c r="E685" s="36"/>
      <c r="F685" s="36"/>
      <c r="G685" s="11" t="s">
        <v>34</v>
      </c>
      <c r="H685" s="12"/>
      <c r="I685" s="13">
        <v>14000</v>
      </c>
      <c r="J685" s="11"/>
      <c r="K685" s="29">
        <f t="shared" si="72"/>
        <v>6098.9090909090883</v>
      </c>
      <c r="L685" s="15"/>
      <c r="M685" s="15">
        <v>12.72</v>
      </c>
      <c r="N685" s="16">
        <f t="shared" si="74"/>
        <v>178080</v>
      </c>
      <c r="O685" s="17">
        <f t="shared" si="70"/>
        <v>161890.90909090909</v>
      </c>
      <c r="P685" s="18">
        <f t="shared" si="73"/>
        <v>155792</v>
      </c>
    </row>
    <row r="686" spans="1:16" x14ac:dyDescent="0.3">
      <c r="A686" s="7">
        <v>45502</v>
      </c>
      <c r="B686" s="8" t="s">
        <v>20</v>
      </c>
      <c r="C686" s="25">
        <f>10.3/1.1</f>
        <v>9.3636363636363633</v>
      </c>
      <c r="D686" s="30"/>
      <c r="E686" s="12">
        <v>32000</v>
      </c>
      <c r="F686" s="12"/>
      <c r="G686" s="20" t="s">
        <v>31</v>
      </c>
      <c r="H686" s="12">
        <v>32000</v>
      </c>
      <c r="I686" s="13"/>
      <c r="J686" s="11"/>
      <c r="K686" s="29">
        <f t="shared" si="72"/>
        <v>40145.45454545453</v>
      </c>
      <c r="L686" s="15">
        <v>11.68</v>
      </c>
      <c r="M686" s="15"/>
      <c r="N686" s="16">
        <f t="shared" si="74"/>
        <v>373760</v>
      </c>
      <c r="O686" s="17">
        <f t="shared" ref="O686:O691" si="75">N686/1.1</f>
        <v>339781.81818181818</v>
      </c>
      <c r="P686" s="18">
        <f t="shared" si="73"/>
        <v>299636.36363636365</v>
      </c>
    </row>
    <row r="687" spans="1:16" x14ac:dyDescent="0.3">
      <c r="A687" s="7">
        <v>45503</v>
      </c>
      <c r="B687" s="8" t="s">
        <v>19</v>
      </c>
      <c r="C687" s="9">
        <v>9.4600000000000009</v>
      </c>
      <c r="D687" s="9">
        <v>11.128</v>
      </c>
      <c r="E687" s="35"/>
      <c r="F687" s="35">
        <v>3000</v>
      </c>
      <c r="G687" s="20" t="s">
        <v>17</v>
      </c>
      <c r="H687" s="12"/>
      <c r="I687" s="13">
        <v>3000</v>
      </c>
      <c r="J687" s="11"/>
      <c r="K687" s="29">
        <f t="shared" si="72"/>
        <v>979.63636363636033</v>
      </c>
      <c r="L687" s="15"/>
      <c r="M687" s="15">
        <v>12.6</v>
      </c>
      <c r="N687" s="16">
        <f t="shared" si="74"/>
        <v>37800</v>
      </c>
      <c r="O687" s="17">
        <f t="shared" si="75"/>
        <v>34363.63636363636</v>
      </c>
      <c r="P687" s="18">
        <f t="shared" si="73"/>
        <v>33384</v>
      </c>
    </row>
    <row r="688" spans="1:16" x14ac:dyDescent="0.3">
      <c r="A688" s="7">
        <v>45504</v>
      </c>
      <c r="B688" s="8" t="s">
        <v>20</v>
      </c>
      <c r="C688" s="25">
        <f t="shared" ref="C688:C689" si="76">10.3/1.1</f>
        <v>9.3636363636363633</v>
      </c>
      <c r="D688" s="9"/>
      <c r="E688" s="36">
        <v>32000</v>
      </c>
      <c r="F688" s="12"/>
      <c r="G688" s="11" t="s">
        <v>30</v>
      </c>
      <c r="H688" s="12">
        <v>16000</v>
      </c>
      <c r="I688" s="13"/>
      <c r="J688" s="11"/>
      <c r="K688" s="29">
        <f t="shared" si="72"/>
        <v>8727.2727272727061</v>
      </c>
      <c r="L688" s="15">
        <v>10.9</v>
      </c>
      <c r="M688" s="15"/>
      <c r="N688" s="16">
        <f t="shared" si="74"/>
        <v>174400</v>
      </c>
      <c r="O688" s="17">
        <f t="shared" si="75"/>
        <v>158545.45454545453</v>
      </c>
      <c r="P688" s="18">
        <f t="shared" si="73"/>
        <v>149818.18181818182</v>
      </c>
    </row>
    <row r="689" spans="1:17" x14ac:dyDescent="0.3">
      <c r="A689" s="7">
        <v>45504</v>
      </c>
      <c r="B689" s="8" t="s">
        <v>20</v>
      </c>
      <c r="C689" s="25">
        <f t="shared" si="76"/>
        <v>9.3636363636363633</v>
      </c>
      <c r="D689" s="9"/>
      <c r="E689" s="36"/>
      <c r="F689" s="12"/>
      <c r="G689" s="20" t="s">
        <v>23</v>
      </c>
      <c r="H689" s="12">
        <v>16000</v>
      </c>
      <c r="I689" s="13"/>
      <c r="J689" s="11"/>
      <c r="K689" s="29">
        <f t="shared" si="72"/>
        <v>22836.363636363618</v>
      </c>
      <c r="L689" s="15">
        <v>11.87</v>
      </c>
      <c r="M689" s="15"/>
      <c r="N689" s="16">
        <f t="shared" si="74"/>
        <v>189920</v>
      </c>
      <c r="O689" s="17">
        <f t="shared" si="75"/>
        <v>172654.54545454544</v>
      </c>
      <c r="P689" s="18">
        <f t="shared" si="73"/>
        <v>149818.18181818182</v>
      </c>
    </row>
    <row r="690" spans="1:17" x14ac:dyDescent="0.3">
      <c r="A690" s="7">
        <v>45504</v>
      </c>
      <c r="B690" s="8" t="s">
        <v>43</v>
      </c>
      <c r="C690" s="9">
        <v>9.4600000000000009</v>
      </c>
      <c r="D690" s="9">
        <v>11.128</v>
      </c>
      <c r="E690" s="36">
        <v>16000</v>
      </c>
      <c r="F690" s="36">
        <v>17000</v>
      </c>
      <c r="G690" s="20" t="s">
        <v>23</v>
      </c>
      <c r="H690" s="12"/>
      <c r="I690" s="13">
        <v>10000</v>
      </c>
      <c r="J690" s="11"/>
      <c r="K690" s="29">
        <f t="shared" si="72"/>
        <v>16992.727272727265</v>
      </c>
      <c r="L690" s="15">
        <v>11.87</v>
      </c>
      <c r="M690" s="15">
        <v>14.11</v>
      </c>
      <c r="N690" s="16">
        <f t="shared" si="74"/>
        <v>141100</v>
      </c>
      <c r="O690" s="17">
        <f t="shared" si="75"/>
        <v>128272.72727272726</v>
      </c>
      <c r="P690" s="18">
        <f t="shared" si="73"/>
        <v>111280</v>
      </c>
    </row>
    <row r="691" spans="1:17" hidden="1" x14ac:dyDescent="0.3">
      <c r="A691" s="7">
        <v>45504</v>
      </c>
      <c r="B691" s="8" t="s">
        <v>43</v>
      </c>
      <c r="C691" s="9">
        <v>9.4600000000000009</v>
      </c>
      <c r="D691" s="9">
        <v>11.128</v>
      </c>
      <c r="E691" s="36"/>
      <c r="F691" s="36"/>
      <c r="G691" s="20" t="s">
        <v>22</v>
      </c>
      <c r="H691" s="12">
        <v>16000</v>
      </c>
      <c r="I691" s="13">
        <v>7000</v>
      </c>
      <c r="J691" s="11"/>
      <c r="K691" s="29">
        <f t="shared" si="72"/>
        <v>0</v>
      </c>
      <c r="L691" s="15"/>
      <c r="M691" s="15"/>
      <c r="N691" s="16">
        <f t="shared" si="74"/>
        <v>0</v>
      </c>
      <c r="O691" s="17">
        <f t="shared" si="75"/>
        <v>0</v>
      </c>
      <c r="P691" s="38"/>
    </row>
    <row r="692" spans="1:17" x14ac:dyDescent="0.3">
      <c r="A692" s="7">
        <v>45505</v>
      </c>
      <c r="B692" s="8" t="s">
        <v>20</v>
      </c>
      <c r="C692" s="9">
        <v>9.3635999999999999</v>
      </c>
      <c r="D692" s="9">
        <v>0</v>
      </c>
      <c r="E692" s="12">
        <v>32000</v>
      </c>
      <c r="F692" s="12">
        <v>0</v>
      </c>
      <c r="G692" s="20" t="s">
        <v>27</v>
      </c>
      <c r="H692" s="12">
        <v>32000</v>
      </c>
      <c r="I692" s="13">
        <v>0</v>
      </c>
      <c r="J692" s="11"/>
      <c r="K692" s="14">
        <f>O692-P692</f>
        <v>27637.527272727224</v>
      </c>
      <c r="L692" s="15">
        <v>11.25</v>
      </c>
      <c r="M692" s="15">
        <v>13.63</v>
      </c>
      <c r="N692" s="16">
        <f t="shared" si="74"/>
        <v>360000</v>
      </c>
      <c r="O692" s="39">
        <f>N692/1.1</f>
        <v>327272.72727272724</v>
      </c>
      <c r="P692" s="14">
        <f t="shared" ref="P692:P757" si="77">(C692*H692)+(I692*D692)</f>
        <v>299635.20000000001</v>
      </c>
    </row>
    <row r="693" spans="1:17" x14ac:dyDescent="0.3">
      <c r="A693" s="7">
        <v>45506</v>
      </c>
      <c r="B693" s="8" t="s">
        <v>43</v>
      </c>
      <c r="C693" s="9">
        <v>9.3260000000000005</v>
      </c>
      <c r="D693" s="9">
        <v>11.055</v>
      </c>
      <c r="E693" s="10">
        <v>136000</v>
      </c>
      <c r="F693" s="10">
        <v>72000</v>
      </c>
      <c r="G693" s="20" t="s">
        <v>21</v>
      </c>
      <c r="H693" s="12">
        <v>20000</v>
      </c>
      <c r="I693" s="13">
        <v>2000</v>
      </c>
      <c r="J693" s="11"/>
      <c r="K693" s="14">
        <f>O693-P693</f>
        <v>28442.727272727265</v>
      </c>
      <c r="L693" s="15">
        <v>11.65</v>
      </c>
      <c r="M693" s="15">
        <v>13.89</v>
      </c>
      <c r="N693" s="16">
        <f t="shared" si="74"/>
        <v>260780</v>
      </c>
      <c r="O693" s="39">
        <f t="shared" ref="O693:O758" si="78">N693/1.1</f>
        <v>237072.72727272726</v>
      </c>
      <c r="P693" s="14">
        <f t="shared" si="77"/>
        <v>208630</v>
      </c>
    </row>
    <row r="694" spans="1:17" hidden="1" x14ac:dyDescent="0.3">
      <c r="A694" s="7">
        <v>45506</v>
      </c>
      <c r="B694" s="8" t="s">
        <v>43</v>
      </c>
      <c r="C694" s="9">
        <v>9.3260000000000005</v>
      </c>
      <c r="D694" s="9">
        <v>11.055</v>
      </c>
      <c r="E694" s="19"/>
      <c r="F694" s="19"/>
      <c r="G694" s="20" t="s">
        <v>22</v>
      </c>
      <c r="H694" s="12">
        <v>10000</v>
      </c>
      <c r="I694" s="13"/>
      <c r="J694" s="11"/>
      <c r="K694" s="14">
        <f t="shared" ref="K694:K759" si="79">O694-P694</f>
        <v>-93260</v>
      </c>
      <c r="L694" s="15"/>
      <c r="M694" s="15"/>
      <c r="N694" s="16">
        <f t="shared" si="74"/>
        <v>0</v>
      </c>
      <c r="O694" s="39">
        <f t="shared" si="78"/>
        <v>0</v>
      </c>
      <c r="P694" s="14">
        <f t="shared" si="77"/>
        <v>93260</v>
      </c>
    </row>
    <row r="695" spans="1:17" x14ac:dyDescent="0.3">
      <c r="A695" s="7">
        <v>45506</v>
      </c>
      <c r="B695" s="8" t="s">
        <v>43</v>
      </c>
      <c r="C695" s="9">
        <v>9.3260000000000005</v>
      </c>
      <c r="D695" s="9">
        <v>11.055</v>
      </c>
      <c r="E695" s="19"/>
      <c r="F695" s="19"/>
      <c r="G695" s="20" t="s">
        <v>17</v>
      </c>
      <c r="H695" s="12">
        <v>10000</v>
      </c>
      <c r="I695" s="12">
        <v>23000</v>
      </c>
      <c r="J695" s="11"/>
      <c r="K695" s="14">
        <f t="shared" si="79"/>
        <v>6875</v>
      </c>
      <c r="L695" s="15">
        <v>10.28</v>
      </c>
      <c r="M695" s="15">
        <v>12.48</v>
      </c>
      <c r="N695" s="16">
        <f t="shared" si="74"/>
        <v>389840</v>
      </c>
      <c r="O695" s="39">
        <f t="shared" si="78"/>
        <v>354400</v>
      </c>
      <c r="P695" s="14">
        <f t="shared" si="77"/>
        <v>347525</v>
      </c>
      <c r="Q695" s="32"/>
    </row>
    <row r="696" spans="1:17" x14ac:dyDescent="0.3">
      <c r="A696" s="7">
        <v>45506</v>
      </c>
      <c r="B696" s="8" t="s">
        <v>43</v>
      </c>
      <c r="C696" s="9">
        <v>9.3260000000000005</v>
      </c>
      <c r="D696" s="9">
        <v>11.055</v>
      </c>
      <c r="E696" s="19"/>
      <c r="F696" s="19"/>
      <c r="G696" s="20" t="s">
        <v>17</v>
      </c>
      <c r="H696" s="12">
        <v>23000</v>
      </c>
      <c r="I696" s="12">
        <v>12000</v>
      </c>
      <c r="J696" s="11"/>
      <c r="K696" s="14">
        <f t="shared" si="79"/>
        <v>3932.9090909090592</v>
      </c>
      <c r="L696" s="15">
        <v>10.28</v>
      </c>
      <c r="M696" s="15">
        <v>12.48</v>
      </c>
      <c r="N696" s="16">
        <f t="shared" si="74"/>
        <v>386200</v>
      </c>
      <c r="O696" s="39">
        <f>N696/1.1</f>
        <v>351090.90909090906</v>
      </c>
      <c r="P696" s="14">
        <f t="shared" si="77"/>
        <v>347158</v>
      </c>
      <c r="Q696" s="32"/>
    </row>
    <row r="697" spans="1:17" x14ac:dyDescent="0.3">
      <c r="A697" s="7">
        <v>45506</v>
      </c>
      <c r="B697" s="8" t="s">
        <v>43</v>
      </c>
      <c r="C697" s="9">
        <v>9.3260000000000005</v>
      </c>
      <c r="D697" s="9">
        <v>11.055</v>
      </c>
      <c r="E697" s="19"/>
      <c r="F697" s="19"/>
      <c r="G697" s="20" t="s">
        <v>17</v>
      </c>
      <c r="H697" s="12">
        <v>33000</v>
      </c>
      <c r="I697" s="12"/>
      <c r="J697" s="11"/>
      <c r="K697" s="14">
        <f t="shared" si="79"/>
        <v>642</v>
      </c>
      <c r="L697" s="15">
        <v>10.28</v>
      </c>
      <c r="M697" s="15">
        <v>12.48</v>
      </c>
      <c r="N697" s="16">
        <f t="shared" si="74"/>
        <v>339240</v>
      </c>
      <c r="O697" s="39">
        <f t="shared" si="78"/>
        <v>308400</v>
      </c>
      <c r="P697" s="14">
        <f t="shared" si="77"/>
        <v>307758</v>
      </c>
    </row>
    <row r="698" spans="1:17" x14ac:dyDescent="0.3">
      <c r="A698" s="7">
        <v>45506</v>
      </c>
      <c r="B698" s="8" t="s">
        <v>43</v>
      </c>
      <c r="C698" s="9">
        <v>9.3260000000000005</v>
      </c>
      <c r="D698" s="9">
        <v>11.055</v>
      </c>
      <c r="E698" s="19"/>
      <c r="F698" s="19"/>
      <c r="G698" s="20" t="s">
        <v>47</v>
      </c>
      <c r="H698" s="12">
        <v>30000</v>
      </c>
      <c r="I698" s="12"/>
      <c r="J698" s="11"/>
      <c r="K698" s="14">
        <f t="shared" si="79"/>
        <v>1401.8181818181765</v>
      </c>
      <c r="L698" s="15">
        <v>10.31</v>
      </c>
      <c r="M698" s="15"/>
      <c r="N698" s="16">
        <f t="shared" si="74"/>
        <v>309300</v>
      </c>
      <c r="O698" s="39">
        <f t="shared" si="78"/>
        <v>281181.81818181818</v>
      </c>
      <c r="P698" s="14">
        <f t="shared" si="77"/>
        <v>279780</v>
      </c>
    </row>
    <row r="699" spans="1:17" x14ac:dyDescent="0.3">
      <c r="A699" s="7">
        <v>45506</v>
      </c>
      <c r="B699" s="8" t="s">
        <v>43</v>
      </c>
      <c r="C699" s="9">
        <v>9.3260000000000005</v>
      </c>
      <c r="D699" s="9">
        <v>11.055</v>
      </c>
      <c r="E699" s="19"/>
      <c r="F699" s="19"/>
      <c r="G699" s="11" t="s">
        <v>34</v>
      </c>
      <c r="H699" s="12">
        <v>10000</v>
      </c>
      <c r="I699" s="12">
        <v>20000</v>
      </c>
      <c r="J699" s="11"/>
      <c r="K699" s="14">
        <f t="shared" si="79"/>
        <v>9185.4545454545296</v>
      </c>
      <c r="L699" s="15">
        <v>10.31</v>
      </c>
      <c r="M699" s="15">
        <v>12.64</v>
      </c>
      <c r="N699" s="16">
        <f t="shared" si="74"/>
        <v>355900</v>
      </c>
      <c r="O699" s="39">
        <f t="shared" si="78"/>
        <v>323545.45454545453</v>
      </c>
      <c r="P699" s="14">
        <f t="shared" si="77"/>
        <v>314360</v>
      </c>
    </row>
    <row r="700" spans="1:17" x14ac:dyDescent="0.3">
      <c r="A700" s="7">
        <v>45506</v>
      </c>
      <c r="B700" s="8" t="s">
        <v>43</v>
      </c>
      <c r="C700" s="9">
        <v>9.3260000000000005</v>
      </c>
      <c r="D700" s="9">
        <v>11.055</v>
      </c>
      <c r="E700" s="21"/>
      <c r="F700" s="21"/>
      <c r="G700" s="11" t="s">
        <v>37</v>
      </c>
      <c r="H700" s="12"/>
      <c r="I700" s="13">
        <v>15000</v>
      </c>
      <c r="J700" s="11"/>
      <c r="K700" s="14">
        <f t="shared" si="79"/>
        <v>3947.7272727272648</v>
      </c>
      <c r="L700" s="15"/>
      <c r="M700" s="15">
        <v>12.45</v>
      </c>
      <c r="N700" s="16">
        <f t="shared" si="74"/>
        <v>186750</v>
      </c>
      <c r="O700" s="39">
        <f t="shared" si="78"/>
        <v>169772.72727272726</v>
      </c>
      <c r="P700" s="14">
        <f t="shared" si="77"/>
        <v>165825</v>
      </c>
    </row>
    <row r="701" spans="1:17" x14ac:dyDescent="0.3">
      <c r="A701" s="7">
        <v>45507</v>
      </c>
      <c r="B701" s="8" t="s">
        <v>19</v>
      </c>
      <c r="C701" s="9">
        <v>9.3260000000000005</v>
      </c>
      <c r="D701" s="9">
        <v>11.055</v>
      </c>
      <c r="E701" s="24"/>
      <c r="F701" s="24">
        <v>2000</v>
      </c>
      <c r="G701" s="20" t="s">
        <v>17</v>
      </c>
      <c r="H701" s="12"/>
      <c r="I701" s="12">
        <v>2000</v>
      </c>
      <c r="J701" s="11"/>
      <c r="K701" s="14">
        <f t="shared" si="79"/>
        <v>580.90909090908826</v>
      </c>
      <c r="L701" s="15">
        <v>10.28</v>
      </c>
      <c r="M701" s="15">
        <v>12.48</v>
      </c>
      <c r="N701" s="16">
        <f t="shared" si="74"/>
        <v>24960</v>
      </c>
      <c r="O701" s="39">
        <f t="shared" si="78"/>
        <v>22690.909090909088</v>
      </c>
      <c r="P701" s="14">
        <f t="shared" si="77"/>
        <v>22110</v>
      </c>
    </row>
    <row r="702" spans="1:17" x14ac:dyDescent="0.3">
      <c r="A702" s="7">
        <v>45509</v>
      </c>
      <c r="B702" s="8" t="s">
        <v>43</v>
      </c>
      <c r="C702" s="9">
        <v>9.3260000000000005</v>
      </c>
      <c r="D702" s="9">
        <v>11.055</v>
      </c>
      <c r="E702" s="19">
        <v>17000</v>
      </c>
      <c r="F702" s="19">
        <v>60000</v>
      </c>
      <c r="G702" s="20" t="s">
        <v>17</v>
      </c>
      <c r="H702" s="12">
        <v>17000</v>
      </c>
      <c r="I702" s="13">
        <v>16000</v>
      </c>
      <c r="J702" s="11"/>
      <c r="K702" s="14">
        <f t="shared" si="79"/>
        <v>4978</v>
      </c>
      <c r="L702" s="15">
        <v>10.28</v>
      </c>
      <c r="M702" s="15">
        <v>12.48</v>
      </c>
      <c r="N702" s="16">
        <f t="shared" si="74"/>
        <v>374440</v>
      </c>
      <c r="O702" s="39">
        <f t="shared" si="78"/>
        <v>340400</v>
      </c>
      <c r="P702" s="14">
        <f t="shared" si="77"/>
        <v>335422</v>
      </c>
    </row>
    <row r="703" spans="1:17" x14ac:dyDescent="0.3">
      <c r="A703" s="7">
        <v>45509</v>
      </c>
      <c r="B703" s="8" t="s">
        <v>43</v>
      </c>
      <c r="C703" s="9">
        <v>9.3260000000000005</v>
      </c>
      <c r="D703" s="9">
        <v>11.055</v>
      </c>
      <c r="E703" s="19"/>
      <c r="F703" s="19"/>
      <c r="G703" s="20" t="s">
        <v>17</v>
      </c>
      <c r="H703" s="12"/>
      <c r="I703" s="13">
        <v>14000</v>
      </c>
      <c r="J703" s="11"/>
      <c r="K703" s="14">
        <f t="shared" si="79"/>
        <v>4066.3636363636178</v>
      </c>
      <c r="L703" s="15">
        <v>10.28</v>
      </c>
      <c r="M703" s="15">
        <v>12.48</v>
      </c>
      <c r="N703" s="16">
        <f t="shared" si="74"/>
        <v>174720</v>
      </c>
      <c r="O703" s="39">
        <f t="shared" si="78"/>
        <v>158836.36363636362</v>
      </c>
      <c r="P703" s="14">
        <f t="shared" si="77"/>
        <v>154770</v>
      </c>
    </row>
    <row r="704" spans="1:17" x14ac:dyDescent="0.3">
      <c r="A704" s="7">
        <v>45509</v>
      </c>
      <c r="B704" s="8" t="s">
        <v>43</v>
      </c>
      <c r="C704" s="9">
        <v>9.3260000000000005</v>
      </c>
      <c r="D704" s="9">
        <v>11.055</v>
      </c>
      <c r="E704" s="19"/>
      <c r="F704" s="19"/>
      <c r="G704" s="11" t="s">
        <v>37</v>
      </c>
      <c r="H704" s="12"/>
      <c r="I704" s="13">
        <v>15000</v>
      </c>
      <c r="J704" s="11"/>
      <c r="K704" s="14">
        <f t="shared" si="79"/>
        <v>3947.7272727272648</v>
      </c>
      <c r="L704" s="15"/>
      <c r="M704" s="15">
        <v>12.45</v>
      </c>
      <c r="N704" s="16">
        <f t="shared" si="74"/>
        <v>186750</v>
      </c>
      <c r="O704" s="39">
        <f t="shared" si="78"/>
        <v>169772.72727272726</v>
      </c>
      <c r="P704" s="14">
        <f t="shared" si="77"/>
        <v>165825</v>
      </c>
    </row>
    <row r="705" spans="1:16" x14ac:dyDescent="0.3">
      <c r="A705" s="7">
        <v>45509</v>
      </c>
      <c r="B705" s="8" t="s">
        <v>43</v>
      </c>
      <c r="C705" s="9">
        <v>9.3260000000000005</v>
      </c>
      <c r="D705" s="9">
        <v>11.055</v>
      </c>
      <c r="E705" s="21"/>
      <c r="F705" s="21"/>
      <c r="G705" s="11" t="s">
        <v>37</v>
      </c>
      <c r="H705" s="12"/>
      <c r="I705" s="13">
        <v>15000</v>
      </c>
      <c r="J705" s="11"/>
      <c r="K705" s="14">
        <f t="shared" si="79"/>
        <v>3947.7272727272648</v>
      </c>
      <c r="L705" s="15"/>
      <c r="M705" s="15">
        <v>12.45</v>
      </c>
      <c r="N705" s="16">
        <f t="shared" si="74"/>
        <v>186750</v>
      </c>
      <c r="O705" s="39">
        <f t="shared" si="78"/>
        <v>169772.72727272726</v>
      </c>
      <c r="P705" s="14">
        <f t="shared" si="77"/>
        <v>165825</v>
      </c>
    </row>
    <row r="706" spans="1:16" x14ac:dyDescent="0.3">
      <c r="A706" s="7">
        <v>45509</v>
      </c>
      <c r="B706" s="8" t="s">
        <v>19</v>
      </c>
      <c r="C706" s="9">
        <v>9.3260000000000005</v>
      </c>
      <c r="D706" s="9">
        <v>11.055</v>
      </c>
      <c r="E706" s="12"/>
      <c r="F706" s="12">
        <v>4000</v>
      </c>
      <c r="G706" s="20" t="s">
        <v>17</v>
      </c>
      <c r="H706" s="12"/>
      <c r="I706" s="13">
        <v>4000</v>
      </c>
      <c r="J706" s="11"/>
      <c r="K706" s="14">
        <f t="shared" si="79"/>
        <v>1161.8181818181765</v>
      </c>
      <c r="L706" s="15">
        <v>10.28</v>
      </c>
      <c r="M706" s="15">
        <v>12.48</v>
      </c>
      <c r="N706" s="16">
        <f t="shared" si="74"/>
        <v>49920</v>
      </c>
      <c r="O706" s="39">
        <f t="shared" si="78"/>
        <v>45381.818181818177</v>
      </c>
      <c r="P706" s="14">
        <f t="shared" si="77"/>
        <v>44220</v>
      </c>
    </row>
    <row r="707" spans="1:16" x14ac:dyDescent="0.3">
      <c r="A707" s="7">
        <v>45510</v>
      </c>
      <c r="B707" s="8" t="s">
        <v>39</v>
      </c>
      <c r="C707" s="9">
        <v>9.2899999999999991</v>
      </c>
      <c r="D707" s="9">
        <v>11</v>
      </c>
      <c r="E707" s="10">
        <v>48000</v>
      </c>
      <c r="F707" s="10">
        <v>31000</v>
      </c>
      <c r="G707" s="20" t="s">
        <v>17</v>
      </c>
      <c r="H707" s="12">
        <v>11000</v>
      </c>
      <c r="I707" s="13">
        <v>6000</v>
      </c>
      <c r="J707" s="11"/>
      <c r="K707" s="14">
        <f t="shared" si="79"/>
        <v>2682.7272727272648</v>
      </c>
      <c r="L707" s="15">
        <v>10.28</v>
      </c>
      <c r="M707" s="15">
        <v>12.48</v>
      </c>
      <c r="N707" s="16">
        <f t="shared" si="74"/>
        <v>187960</v>
      </c>
      <c r="O707" s="39">
        <f t="shared" si="78"/>
        <v>170872.72727272726</v>
      </c>
      <c r="P707" s="14">
        <f t="shared" si="77"/>
        <v>168190</v>
      </c>
    </row>
    <row r="708" spans="1:16" x14ac:dyDescent="0.3">
      <c r="A708" s="7">
        <v>45510</v>
      </c>
      <c r="B708" s="8" t="s">
        <v>39</v>
      </c>
      <c r="C708" s="9">
        <v>9.2899999999999991</v>
      </c>
      <c r="D708" s="9">
        <v>11</v>
      </c>
      <c r="E708" s="19"/>
      <c r="F708" s="19"/>
      <c r="G708" s="11" t="s">
        <v>34</v>
      </c>
      <c r="H708" s="12">
        <v>15000</v>
      </c>
      <c r="I708" s="13">
        <v>15000</v>
      </c>
      <c r="J708" s="11"/>
      <c r="K708" s="14">
        <f t="shared" si="79"/>
        <v>8604.5454545454122</v>
      </c>
      <c r="L708" s="15">
        <v>10.31</v>
      </c>
      <c r="M708" s="15">
        <v>12.64</v>
      </c>
      <c r="N708" s="16">
        <f t="shared" si="74"/>
        <v>344250</v>
      </c>
      <c r="O708" s="39">
        <f t="shared" si="78"/>
        <v>312954.54545454541</v>
      </c>
      <c r="P708" s="14">
        <f t="shared" si="77"/>
        <v>304350</v>
      </c>
    </row>
    <row r="709" spans="1:16" x14ac:dyDescent="0.3">
      <c r="A709" s="7">
        <v>45510</v>
      </c>
      <c r="B709" s="8" t="s">
        <v>39</v>
      </c>
      <c r="C709" s="9">
        <v>9.2899999999999991</v>
      </c>
      <c r="D709" s="9">
        <v>11</v>
      </c>
      <c r="E709" s="21"/>
      <c r="F709" s="21"/>
      <c r="G709" s="11" t="s">
        <v>23</v>
      </c>
      <c r="H709" s="12">
        <v>22000</v>
      </c>
      <c r="I709" s="13">
        <v>10000</v>
      </c>
      <c r="J709" s="11"/>
      <c r="K709" s="14">
        <f>O709-P709</f>
        <v>43020</v>
      </c>
      <c r="L709" s="15">
        <v>11.57</v>
      </c>
      <c r="M709" s="15">
        <v>13.86</v>
      </c>
      <c r="N709" s="16">
        <f t="shared" si="74"/>
        <v>393140</v>
      </c>
      <c r="O709" s="39">
        <f t="shared" si="78"/>
        <v>357400</v>
      </c>
      <c r="P709" s="14">
        <f t="shared" si="77"/>
        <v>314380</v>
      </c>
    </row>
    <row r="710" spans="1:16" x14ac:dyDescent="0.3">
      <c r="A710" s="7">
        <v>45510</v>
      </c>
      <c r="B710" s="8" t="s">
        <v>43</v>
      </c>
      <c r="C710" s="9">
        <v>9.3260000000000005</v>
      </c>
      <c r="D710" s="9">
        <v>11.055</v>
      </c>
      <c r="E710" s="12">
        <v>14000</v>
      </c>
      <c r="F710" s="12"/>
      <c r="G710" s="11" t="s">
        <v>17</v>
      </c>
      <c r="H710" s="12">
        <v>14000</v>
      </c>
      <c r="I710" s="13"/>
      <c r="J710" s="11"/>
      <c r="K710" s="14">
        <f t="shared" si="79"/>
        <v>272.36363636363239</v>
      </c>
      <c r="L710" s="15">
        <v>10.28</v>
      </c>
      <c r="M710" s="15">
        <v>12.48</v>
      </c>
      <c r="N710" s="16">
        <f t="shared" si="74"/>
        <v>143920</v>
      </c>
      <c r="O710" s="39">
        <f t="shared" si="78"/>
        <v>130836.36363636363</v>
      </c>
      <c r="P710" s="14">
        <f t="shared" si="77"/>
        <v>130564</v>
      </c>
    </row>
    <row r="711" spans="1:16" x14ac:dyDescent="0.3">
      <c r="A711" s="7">
        <v>45511</v>
      </c>
      <c r="B711" s="8" t="s">
        <v>39</v>
      </c>
      <c r="C711" s="9">
        <v>9.2899999999999991</v>
      </c>
      <c r="D711" s="9">
        <v>11</v>
      </c>
      <c r="E711" s="10">
        <v>36000</v>
      </c>
      <c r="F711" s="10">
        <v>13000</v>
      </c>
      <c r="G711" s="20" t="s">
        <v>26</v>
      </c>
      <c r="H711" s="12">
        <v>22000</v>
      </c>
      <c r="I711" s="13">
        <v>10000</v>
      </c>
      <c r="J711" s="11"/>
      <c r="K711" s="14">
        <f t="shared" si="79"/>
        <v>50401.818181818177</v>
      </c>
      <c r="L711" s="15">
        <v>11.88</v>
      </c>
      <c r="M711" s="15">
        <v>13.99</v>
      </c>
      <c r="N711" s="16">
        <f t="shared" si="74"/>
        <v>401260</v>
      </c>
      <c r="O711" s="39">
        <f t="shared" si="78"/>
        <v>364781.81818181818</v>
      </c>
      <c r="P711" s="14">
        <f t="shared" si="77"/>
        <v>314380</v>
      </c>
    </row>
    <row r="712" spans="1:16" x14ac:dyDescent="0.3">
      <c r="A712" s="7">
        <v>45511</v>
      </c>
      <c r="B712" s="8" t="s">
        <v>39</v>
      </c>
      <c r="C712" s="9">
        <v>9.2899999999999991</v>
      </c>
      <c r="D712" s="9">
        <v>11</v>
      </c>
      <c r="E712" s="21"/>
      <c r="F712" s="21"/>
      <c r="G712" s="20" t="s">
        <v>17</v>
      </c>
      <c r="H712" s="12">
        <v>14000</v>
      </c>
      <c r="I712" s="13">
        <v>3000</v>
      </c>
      <c r="J712" s="11"/>
      <c r="K712" s="14">
        <f t="shared" si="79"/>
        <v>1812.7272727272648</v>
      </c>
      <c r="L712" s="15">
        <v>10.28</v>
      </c>
      <c r="M712" s="15">
        <v>12.48</v>
      </c>
      <c r="N712" s="16">
        <f t="shared" si="74"/>
        <v>181360</v>
      </c>
      <c r="O712" s="39">
        <f t="shared" si="78"/>
        <v>164872.72727272726</v>
      </c>
      <c r="P712" s="14">
        <f t="shared" si="77"/>
        <v>163060</v>
      </c>
    </row>
    <row r="713" spans="1:16" x14ac:dyDescent="0.3">
      <c r="A713" s="7">
        <v>45512</v>
      </c>
      <c r="B713" s="8" t="s">
        <v>39</v>
      </c>
      <c r="C713" s="9">
        <v>9.2899999999999991</v>
      </c>
      <c r="D713" s="9">
        <v>11</v>
      </c>
      <c r="E713" s="10">
        <v>76000</v>
      </c>
      <c r="F713" s="10">
        <v>22000</v>
      </c>
      <c r="G713" s="11" t="s">
        <v>28</v>
      </c>
      <c r="H713" s="12">
        <v>10000</v>
      </c>
      <c r="I713" s="13">
        <v>10000</v>
      </c>
      <c r="J713" s="11"/>
      <c r="K713" s="14">
        <f t="shared" si="79"/>
        <v>28554.545454545441</v>
      </c>
      <c r="L713" s="15">
        <v>11.66</v>
      </c>
      <c r="M713" s="15">
        <v>13.8</v>
      </c>
      <c r="N713" s="16">
        <f t="shared" si="74"/>
        <v>254600</v>
      </c>
      <c r="O713" s="39">
        <f t="shared" si="78"/>
        <v>231454.54545454544</v>
      </c>
      <c r="P713" s="14">
        <f t="shared" si="77"/>
        <v>202900</v>
      </c>
    </row>
    <row r="714" spans="1:16" x14ac:dyDescent="0.3">
      <c r="A714" s="7">
        <v>45512</v>
      </c>
      <c r="B714" s="8" t="s">
        <v>39</v>
      </c>
      <c r="C714" s="9">
        <v>9.2899999999999991</v>
      </c>
      <c r="D714" s="9">
        <v>11</v>
      </c>
      <c r="E714" s="19"/>
      <c r="F714" s="19"/>
      <c r="G714" s="11" t="s">
        <v>36</v>
      </c>
      <c r="H714" s="12">
        <v>8000</v>
      </c>
      <c r="I714" s="12">
        <v>4000</v>
      </c>
      <c r="J714" s="11"/>
      <c r="K714" s="14">
        <f t="shared" si="79"/>
        <v>15389.090909090912</v>
      </c>
      <c r="L714" s="15">
        <v>11.58</v>
      </c>
      <c r="M714" s="15">
        <v>13.61</v>
      </c>
      <c r="N714" s="16">
        <f t="shared" si="74"/>
        <v>147080</v>
      </c>
      <c r="O714" s="39">
        <f t="shared" si="78"/>
        <v>133709.09090909091</v>
      </c>
      <c r="P714" s="14">
        <f t="shared" si="77"/>
        <v>118320</v>
      </c>
    </row>
    <row r="715" spans="1:16" x14ac:dyDescent="0.3">
      <c r="A715" s="7">
        <v>45512</v>
      </c>
      <c r="B715" s="8" t="s">
        <v>39</v>
      </c>
      <c r="C715" s="9">
        <v>9.2899999999999991</v>
      </c>
      <c r="D715" s="9">
        <v>11</v>
      </c>
      <c r="E715" s="19"/>
      <c r="F715" s="19"/>
      <c r="G715" s="20" t="s">
        <v>17</v>
      </c>
      <c r="H715" s="12">
        <v>25000</v>
      </c>
      <c r="I715" s="12">
        <v>8000</v>
      </c>
      <c r="J715" s="11"/>
      <c r="K715" s="14">
        <f t="shared" si="79"/>
        <v>4150</v>
      </c>
      <c r="L715" s="15">
        <v>10.28</v>
      </c>
      <c r="M715" s="15">
        <v>12.48</v>
      </c>
      <c r="N715" s="16">
        <f t="shared" si="74"/>
        <v>356840</v>
      </c>
      <c r="O715" s="39">
        <f t="shared" si="78"/>
        <v>324400</v>
      </c>
      <c r="P715" s="14">
        <f t="shared" si="77"/>
        <v>320250</v>
      </c>
    </row>
    <row r="716" spans="1:16" x14ac:dyDescent="0.3">
      <c r="A716" s="7">
        <v>45512</v>
      </c>
      <c r="B716" s="8" t="s">
        <v>39</v>
      </c>
      <c r="C716" s="9">
        <v>9.2899999999999991</v>
      </c>
      <c r="D716" s="9">
        <v>11</v>
      </c>
      <c r="E716" s="21"/>
      <c r="F716" s="21"/>
      <c r="G716" s="11" t="s">
        <v>17</v>
      </c>
      <c r="H716" s="12">
        <v>33000</v>
      </c>
      <c r="I716" s="13">
        <v>0</v>
      </c>
      <c r="J716" s="31">
        <v>295745.45</v>
      </c>
      <c r="K716" s="14">
        <f t="shared" si="79"/>
        <v>1830</v>
      </c>
      <c r="L716" s="15">
        <v>10.28</v>
      </c>
      <c r="M716" s="15">
        <v>12.48</v>
      </c>
      <c r="N716" s="16">
        <f>(H716*L716)+(I716*M716)</f>
        <v>339240</v>
      </c>
      <c r="O716" s="39">
        <f t="shared" si="78"/>
        <v>308400</v>
      </c>
      <c r="P716" s="14">
        <f t="shared" si="77"/>
        <v>306570</v>
      </c>
    </row>
    <row r="717" spans="1:16" x14ac:dyDescent="0.3">
      <c r="A717" s="7">
        <v>45513</v>
      </c>
      <c r="B717" s="8" t="s">
        <v>39</v>
      </c>
      <c r="C717" s="9">
        <v>9.2899999999999991</v>
      </c>
      <c r="D717" s="9">
        <v>11</v>
      </c>
      <c r="E717" s="10">
        <v>50000</v>
      </c>
      <c r="F717" s="10">
        <v>16000</v>
      </c>
      <c r="G717" s="20" t="s">
        <v>17</v>
      </c>
      <c r="H717" s="12">
        <v>29000</v>
      </c>
      <c r="I717" s="13">
        <v>4000</v>
      </c>
      <c r="J717" s="31">
        <v>92727.27</v>
      </c>
      <c r="K717" s="14">
        <f t="shared" si="79"/>
        <v>2990</v>
      </c>
      <c r="L717" s="15">
        <v>10.28</v>
      </c>
      <c r="M717" s="15">
        <v>12.48</v>
      </c>
      <c r="N717" s="16">
        <f>(H717*L717)+(I717*M717)</f>
        <v>348040</v>
      </c>
      <c r="O717" s="39">
        <f t="shared" si="78"/>
        <v>316400</v>
      </c>
      <c r="P717" s="14">
        <f t="shared" si="77"/>
        <v>313410</v>
      </c>
    </row>
    <row r="718" spans="1:16" x14ac:dyDescent="0.3">
      <c r="A718" s="7">
        <v>45513</v>
      </c>
      <c r="B718" s="8" t="s">
        <v>39</v>
      </c>
      <c r="C718" s="9">
        <v>9.2899999999999991</v>
      </c>
      <c r="D718" s="9">
        <v>11</v>
      </c>
      <c r="E718" s="19"/>
      <c r="F718" s="19"/>
      <c r="G718" s="20" t="s">
        <v>27</v>
      </c>
      <c r="H718" s="12">
        <v>21000</v>
      </c>
      <c r="I718" s="13">
        <v>8000</v>
      </c>
      <c r="J718" s="31">
        <v>-38472.730000000003</v>
      </c>
      <c r="K718" s="14">
        <f t="shared" si="79"/>
        <v>30810</v>
      </c>
      <c r="L718" s="15">
        <v>11.25</v>
      </c>
      <c r="M718" s="15">
        <v>13.63</v>
      </c>
      <c r="N718" s="16">
        <f t="shared" si="74"/>
        <v>345290</v>
      </c>
      <c r="O718" s="39">
        <f t="shared" si="78"/>
        <v>313900</v>
      </c>
      <c r="P718" s="14">
        <f t="shared" si="77"/>
        <v>283090</v>
      </c>
    </row>
    <row r="719" spans="1:16" hidden="1" x14ac:dyDescent="0.3">
      <c r="A719" s="7">
        <v>45513</v>
      </c>
      <c r="B719" s="8" t="s">
        <v>39</v>
      </c>
      <c r="C719" s="9">
        <v>9.2899999999999991</v>
      </c>
      <c r="D719" s="9">
        <v>11</v>
      </c>
      <c r="E719" s="21"/>
      <c r="F719" s="21"/>
      <c r="G719" s="20" t="s">
        <v>22</v>
      </c>
      <c r="H719" s="12"/>
      <c r="I719" s="13">
        <v>4000</v>
      </c>
      <c r="J719" s="31">
        <v>32427.27</v>
      </c>
      <c r="K719" s="14">
        <f t="shared" si="79"/>
        <v>-44000</v>
      </c>
      <c r="L719" s="15"/>
      <c r="M719" s="15"/>
      <c r="N719" s="16">
        <f t="shared" si="74"/>
        <v>0</v>
      </c>
      <c r="O719" s="39">
        <f t="shared" si="78"/>
        <v>0</v>
      </c>
      <c r="P719" s="14">
        <f t="shared" si="77"/>
        <v>44000</v>
      </c>
    </row>
    <row r="720" spans="1:16" x14ac:dyDescent="0.3">
      <c r="A720" s="7">
        <v>45514</v>
      </c>
      <c r="B720" s="8" t="s">
        <v>43</v>
      </c>
      <c r="C720" s="9">
        <v>9.3260000000000005</v>
      </c>
      <c r="D720" s="9">
        <v>11.055</v>
      </c>
      <c r="E720" s="10">
        <v>33000</v>
      </c>
      <c r="F720" s="10">
        <v>14000</v>
      </c>
      <c r="G720" s="20" t="s">
        <v>17</v>
      </c>
      <c r="H720" s="12">
        <v>33000</v>
      </c>
      <c r="I720" s="13"/>
      <c r="J720" s="31">
        <v>4502.55</v>
      </c>
      <c r="K720" s="14">
        <f t="shared" si="79"/>
        <v>642</v>
      </c>
      <c r="L720" s="15">
        <v>10.28</v>
      </c>
      <c r="M720" s="15">
        <v>12.48</v>
      </c>
      <c r="N720" s="16">
        <f t="shared" si="74"/>
        <v>339240</v>
      </c>
      <c r="O720" s="39">
        <f t="shared" si="78"/>
        <v>308400</v>
      </c>
      <c r="P720" s="14">
        <f t="shared" si="77"/>
        <v>307758</v>
      </c>
    </row>
    <row r="721" spans="1:17" x14ac:dyDescent="0.3">
      <c r="A721" s="7">
        <v>45514</v>
      </c>
      <c r="B721" s="8" t="s">
        <v>43</v>
      </c>
      <c r="C721" s="9">
        <v>9.3260000000000005</v>
      </c>
      <c r="D721" s="9">
        <v>11.055</v>
      </c>
      <c r="E721" s="21"/>
      <c r="F721" s="21"/>
      <c r="G721" s="20" t="s">
        <v>17</v>
      </c>
      <c r="H721" s="12"/>
      <c r="I721" s="13">
        <v>14000</v>
      </c>
      <c r="J721" s="11"/>
      <c r="K721" s="14">
        <f t="shared" si="79"/>
        <v>4066.3636363636178</v>
      </c>
      <c r="L721" s="15">
        <v>10.28</v>
      </c>
      <c r="M721" s="15">
        <v>12.48</v>
      </c>
      <c r="N721" s="16">
        <f t="shared" si="74"/>
        <v>174720</v>
      </c>
      <c r="O721" s="39">
        <f t="shared" si="78"/>
        <v>158836.36363636362</v>
      </c>
      <c r="P721" s="14">
        <f t="shared" si="77"/>
        <v>154770</v>
      </c>
    </row>
    <row r="722" spans="1:17" x14ac:dyDescent="0.3">
      <c r="A722" s="7">
        <v>45516</v>
      </c>
      <c r="B722" s="8" t="s">
        <v>39</v>
      </c>
      <c r="C722" s="9">
        <v>9.109</v>
      </c>
      <c r="D722" s="9">
        <v>11</v>
      </c>
      <c r="E722" s="10">
        <v>62000</v>
      </c>
      <c r="F722" s="10">
        <v>36000</v>
      </c>
      <c r="G722" s="20" t="s">
        <v>26</v>
      </c>
      <c r="H722" s="12">
        <v>28000</v>
      </c>
      <c r="I722" s="13">
        <v>4000</v>
      </c>
      <c r="J722" s="11"/>
      <c r="K722" s="14">
        <f t="shared" si="79"/>
        <v>54220.727272727236</v>
      </c>
      <c r="L722" s="15">
        <v>11.88</v>
      </c>
      <c r="M722" s="15">
        <v>13.99</v>
      </c>
      <c r="N722" s="16">
        <f t="shared" si="74"/>
        <v>388600</v>
      </c>
      <c r="O722" s="39">
        <f t="shared" si="78"/>
        <v>353272.72727272724</v>
      </c>
      <c r="P722" s="14">
        <f t="shared" si="77"/>
        <v>299052</v>
      </c>
      <c r="Q722" t="s">
        <v>49</v>
      </c>
    </row>
    <row r="723" spans="1:17" x14ac:dyDescent="0.3">
      <c r="A723" s="7">
        <v>45516</v>
      </c>
      <c r="B723" s="8" t="s">
        <v>39</v>
      </c>
      <c r="C723" s="9">
        <v>9.109</v>
      </c>
      <c r="D723" s="9">
        <v>11</v>
      </c>
      <c r="E723" s="19"/>
      <c r="F723" s="19"/>
      <c r="G723" s="20" t="s">
        <v>17</v>
      </c>
      <c r="H723" s="12">
        <v>17000</v>
      </c>
      <c r="I723" s="13">
        <v>16000</v>
      </c>
      <c r="J723" s="11"/>
      <c r="K723" s="14">
        <f t="shared" si="79"/>
        <v>6147</v>
      </c>
      <c r="L723" s="15">
        <v>10.06</v>
      </c>
      <c r="M723" s="15">
        <v>12.48</v>
      </c>
      <c r="N723" s="16">
        <f t="shared" si="74"/>
        <v>370700</v>
      </c>
      <c r="O723" s="39">
        <f t="shared" si="78"/>
        <v>337000</v>
      </c>
      <c r="P723" s="14">
        <f t="shared" si="77"/>
        <v>330853</v>
      </c>
    </row>
    <row r="724" spans="1:17" x14ac:dyDescent="0.3">
      <c r="A724" s="7">
        <v>45516</v>
      </c>
      <c r="B724" s="8" t="s">
        <v>39</v>
      </c>
      <c r="C724" s="9">
        <v>9.109</v>
      </c>
      <c r="D724" s="9">
        <v>11</v>
      </c>
      <c r="E724" s="21"/>
      <c r="F724" s="21"/>
      <c r="G724" s="11" t="s">
        <v>34</v>
      </c>
      <c r="H724" s="12">
        <v>17000</v>
      </c>
      <c r="I724" s="13">
        <v>16000</v>
      </c>
      <c r="J724" s="11"/>
      <c r="K724" s="14">
        <f t="shared" si="79"/>
        <v>12337.909090909059</v>
      </c>
      <c r="L724" s="15">
        <v>10.31</v>
      </c>
      <c r="M724" s="15">
        <v>12.64</v>
      </c>
      <c r="N724" s="16">
        <f t="shared" si="74"/>
        <v>377510</v>
      </c>
      <c r="O724" s="39">
        <f t="shared" si="78"/>
        <v>343190.90909090906</v>
      </c>
      <c r="P724" s="14">
        <f t="shared" si="77"/>
        <v>330853</v>
      </c>
    </row>
    <row r="725" spans="1:17" x14ac:dyDescent="0.3">
      <c r="A725" s="7">
        <v>45516</v>
      </c>
      <c r="B725" s="8" t="s">
        <v>19</v>
      </c>
      <c r="C725" s="9">
        <v>9.3260000000000005</v>
      </c>
      <c r="D725" s="9">
        <v>11.055</v>
      </c>
      <c r="E725" s="12">
        <v>6000</v>
      </c>
      <c r="F725" s="12"/>
      <c r="G725" s="11" t="s">
        <v>30</v>
      </c>
      <c r="H725" s="12">
        <v>6000</v>
      </c>
      <c r="I725" s="13"/>
      <c r="J725" s="11"/>
      <c r="K725" s="14">
        <f t="shared" si="79"/>
        <v>2134.9090909090883</v>
      </c>
      <c r="L725" s="15">
        <v>10.65</v>
      </c>
      <c r="M725" s="15"/>
      <c r="N725" s="16">
        <f t="shared" si="74"/>
        <v>63900</v>
      </c>
      <c r="O725" s="39">
        <f t="shared" si="78"/>
        <v>58090.909090909088</v>
      </c>
      <c r="P725" s="14">
        <f t="shared" si="77"/>
        <v>55956</v>
      </c>
    </row>
    <row r="726" spans="1:17" x14ac:dyDescent="0.3">
      <c r="A726" s="7">
        <v>45518</v>
      </c>
      <c r="B726" s="8" t="s">
        <v>39</v>
      </c>
      <c r="C726" s="9">
        <v>9.109</v>
      </c>
      <c r="D726" s="9">
        <v>11</v>
      </c>
      <c r="E726" s="10">
        <v>58000</v>
      </c>
      <c r="F726" s="10">
        <v>7000</v>
      </c>
      <c r="G726" s="11" t="s">
        <v>17</v>
      </c>
      <c r="H726" s="12">
        <v>33000</v>
      </c>
      <c r="I726" s="13"/>
      <c r="J726" s="11"/>
      <c r="K726" s="14">
        <f t="shared" si="79"/>
        <v>1203</v>
      </c>
      <c r="L726" s="15">
        <v>10.06</v>
      </c>
      <c r="M726" s="15">
        <v>12.48</v>
      </c>
      <c r="N726" s="16">
        <f t="shared" si="74"/>
        <v>331980</v>
      </c>
      <c r="O726" s="39">
        <f t="shared" si="78"/>
        <v>301800</v>
      </c>
      <c r="P726" s="14">
        <f t="shared" si="77"/>
        <v>300597</v>
      </c>
    </row>
    <row r="727" spans="1:17" x14ac:dyDescent="0.3">
      <c r="A727" s="7">
        <v>45518</v>
      </c>
      <c r="B727" s="8" t="s">
        <v>39</v>
      </c>
      <c r="C727" s="9">
        <v>9.109</v>
      </c>
      <c r="D727" s="9">
        <v>11</v>
      </c>
      <c r="E727" s="19"/>
      <c r="F727" s="19"/>
      <c r="G727" s="11" t="s">
        <v>21</v>
      </c>
      <c r="H727" s="12">
        <v>20000</v>
      </c>
      <c r="I727" s="13">
        <v>2000</v>
      </c>
      <c r="J727" s="11"/>
      <c r="K727" s="14">
        <f t="shared" si="79"/>
        <v>32892.727272727265</v>
      </c>
      <c r="L727" s="15">
        <v>11.65</v>
      </c>
      <c r="M727" s="15">
        <v>13.89</v>
      </c>
      <c r="N727" s="16">
        <f>(H727*L727)+(I727*M727)</f>
        <v>260780</v>
      </c>
      <c r="O727" s="39">
        <f t="shared" si="78"/>
        <v>237072.72727272726</v>
      </c>
      <c r="P727" s="14">
        <f t="shared" si="77"/>
        <v>204180</v>
      </c>
    </row>
    <row r="728" spans="1:17" x14ac:dyDescent="0.3">
      <c r="A728" s="7">
        <v>45518</v>
      </c>
      <c r="B728" s="8" t="s">
        <v>39</v>
      </c>
      <c r="C728" s="9">
        <v>9.109</v>
      </c>
      <c r="D728" s="9">
        <v>11</v>
      </c>
      <c r="E728" s="19"/>
      <c r="F728" s="19"/>
      <c r="G728" s="20" t="s">
        <v>23</v>
      </c>
      <c r="H728" s="12">
        <v>5000</v>
      </c>
      <c r="I728" s="13">
        <v>5000</v>
      </c>
      <c r="J728" s="11"/>
      <c r="K728" s="14">
        <f t="shared" si="79"/>
        <v>15045.909090909088</v>
      </c>
      <c r="L728" s="15">
        <v>11.57</v>
      </c>
      <c r="M728" s="15">
        <v>13.86</v>
      </c>
      <c r="N728" s="16">
        <f t="shared" si="74"/>
        <v>127150</v>
      </c>
      <c r="O728" s="39">
        <f t="shared" si="78"/>
        <v>115590.90909090909</v>
      </c>
      <c r="P728" s="14">
        <f t="shared" si="77"/>
        <v>100545</v>
      </c>
    </row>
    <row r="729" spans="1:17" x14ac:dyDescent="0.3">
      <c r="A729" s="7">
        <v>45518</v>
      </c>
      <c r="B729" s="8" t="s">
        <v>19</v>
      </c>
      <c r="C729" s="9">
        <v>9.3260000000000005</v>
      </c>
      <c r="D729" s="9">
        <v>11.055</v>
      </c>
      <c r="E729" s="12">
        <v>0</v>
      </c>
      <c r="F729" s="12">
        <v>3000</v>
      </c>
      <c r="G729" s="11" t="s">
        <v>17</v>
      </c>
      <c r="H729" s="12">
        <v>0</v>
      </c>
      <c r="I729" s="13">
        <v>3000</v>
      </c>
      <c r="J729" s="11"/>
      <c r="K729" s="14">
        <f t="shared" si="79"/>
        <v>871.36363636363239</v>
      </c>
      <c r="L729" s="15">
        <v>10.06</v>
      </c>
      <c r="M729" s="15">
        <v>12.48</v>
      </c>
      <c r="N729" s="16">
        <f t="shared" si="74"/>
        <v>37440</v>
      </c>
      <c r="O729" s="39">
        <f t="shared" si="78"/>
        <v>34036.363636363632</v>
      </c>
      <c r="P729" s="14">
        <f t="shared" si="77"/>
        <v>33165</v>
      </c>
    </row>
    <row r="730" spans="1:17" x14ac:dyDescent="0.3">
      <c r="A730" s="7">
        <v>45519</v>
      </c>
      <c r="B730" s="8" t="s">
        <v>43</v>
      </c>
      <c r="C730" s="9">
        <v>9.3260000000000005</v>
      </c>
      <c r="D730" s="9">
        <v>11.055</v>
      </c>
      <c r="E730" s="10">
        <v>18000</v>
      </c>
      <c r="F730" s="10">
        <v>48000</v>
      </c>
      <c r="G730" s="11" t="s">
        <v>37</v>
      </c>
      <c r="H730" s="12"/>
      <c r="I730" s="13">
        <v>33000</v>
      </c>
      <c r="J730" s="11"/>
      <c r="K730" s="14">
        <f t="shared" si="79"/>
        <v>8684.9999999999418</v>
      </c>
      <c r="L730" s="15"/>
      <c r="M730" s="15">
        <v>12.45</v>
      </c>
      <c r="N730" s="16">
        <f t="shared" si="74"/>
        <v>410850</v>
      </c>
      <c r="O730" s="39">
        <f t="shared" si="78"/>
        <v>373499.99999999994</v>
      </c>
      <c r="P730" s="14">
        <f t="shared" si="77"/>
        <v>364815</v>
      </c>
    </row>
    <row r="731" spans="1:17" x14ac:dyDescent="0.3">
      <c r="A731" s="7">
        <v>45519</v>
      </c>
      <c r="B731" s="8" t="s">
        <v>43</v>
      </c>
      <c r="C731" s="9">
        <v>9.3260000000000005</v>
      </c>
      <c r="D731" s="9">
        <v>11.055</v>
      </c>
      <c r="E731" s="19"/>
      <c r="F731" s="19"/>
      <c r="G731" s="11" t="s">
        <v>17</v>
      </c>
      <c r="H731" s="12">
        <v>18000</v>
      </c>
      <c r="I731" s="13">
        <v>15000</v>
      </c>
      <c r="J731" s="11"/>
      <c r="K731" s="14">
        <f t="shared" si="79"/>
        <v>1107</v>
      </c>
      <c r="L731" s="15">
        <v>10.06</v>
      </c>
      <c r="M731" s="15">
        <v>12.48</v>
      </c>
      <c r="N731" s="16">
        <f t="shared" si="74"/>
        <v>368280</v>
      </c>
      <c r="O731" s="39">
        <f t="shared" si="78"/>
        <v>334800</v>
      </c>
      <c r="P731" s="14">
        <f t="shared" si="77"/>
        <v>333693</v>
      </c>
    </row>
    <row r="732" spans="1:17" x14ac:dyDescent="0.3">
      <c r="A732" s="7">
        <v>45520</v>
      </c>
      <c r="B732" s="8" t="s">
        <v>41</v>
      </c>
      <c r="C732" s="9">
        <f>9.95/1.1</f>
        <v>9.0454545454545432</v>
      </c>
      <c r="D732" s="9">
        <f>12.5/1.1</f>
        <v>11.363636363636363</v>
      </c>
      <c r="E732" s="10">
        <v>22000</v>
      </c>
      <c r="F732" s="10">
        <v>10000</v>
      </c>
      <c r="G732" s="11" t="s">
        <v>23</v>
      </c>
      <c r="H732" s="12">
        <v>16000</v>
      </c>
      <c r="I732" s="13">
        <v>5000</v>
      </c>
      <c r="J732" s="11"/>
      <c r="K732" s="14">
        <f t="shared" si="79"/>
        <v>29745.454545454559</v>
      </c>
      <c r="L732" s="15">
        <v>11.57</v>
      </c>
      <c r="M732" s="15">
        <v>13.86</v>
      </c>
      <c r="N732" s="16">
        <f t="shared" si="74"/>
        <v>254420</v>
      </c>
      <c r="O732" s="39">
        <f t="shared" si="78"/>
        <v>231290.90909090906</v>
      </c>
      <c r="P732" s="14">
        <f t="shared" si="77"/>
        <v>201545.4545454545</v>
      </c>
    </row>
    <row r="733" spans="1:17" hidden="1" x14ac:dyDescent="0.3">
      <c r="A733" s="7">
        <v>45520</v>
      </c>
      <c r="B733" s="8" t="s">
        <v>41</v>
      </c>
      <c r="C733" s="9">
        <f>9.95/1.1</f>
        <v>9.0454545454545432</v>
      </c>
      <c r="D733" s="9">
        <f>12.5/1.1</f>
        <v>11.363636363636363</v>
      </c>
      <c r="E733" s="21"/>
      <c r="F733" s="21"/>
      <c r="G733" s="11" t="s">
        <v>22</v>
      </c>
      <c r="H733" s="12">
        <v>6000</v>
      </c>
      <c r="I733" s="13">
        <v>5000</v>
      </c>
      <c r="J733" s="11"/>
      <c r="K733" s="14">
        <f t="shared" si="79"/>
        <v>-111090.90909090907</v>
      </c>
      <c r="L733" s="15"/>
      <c r="M733" s="15"/>
      <c r="N733" s="16">
        <f t="shared" ref="N733:N796" si="80">(H733*L733)+(I733*M733)</f>
        <v>0</v>
      </c>
      <c r="O733" s="39">
        <f t="shared" si="78"/>
        <v>0</v>
      </c>
      <c r="P733" s="14">
        <f t="shared" si="77"/>
        <v>111090.90909090907</v>
      </c>
    </row>
    <row r="734" spans="1:17" x14ac:dyDescent="0.3">
      <c r="A734" s="7">
        <v>45521</v>
      </c>
      <c r="B734" s="8" t="s">
        <v>19</v>
      </c>
      <c r="C734" s="9">
        <v>9.3260000000000005</v>
      </c>
      <c r="D734" s="9">
        <v>11.055</v>
      </c>
      <c r="E734" s="12">
        <v>2000</v>
      </c>
      <c r="F734" s="12"/>
      <c r="G734" s="11" t="s">
        <v>30</v>
      </c>
      <c r="H734" s="12">
        <v>2000</v>
      </c>
      <c r="I734" s="13"/>
      <c r="J734" s="11"/>
      <c r="K734" s="14">
        <f t="shared" si="79"/>
        <v>711.63636363636033</v>
      </c>
      <c r="L734" s="15">
        <v>10.65</v>
      </c>
      <c r="M734" s="15"/>
      <c r="N734" s="16">
        <f t="shared" si="80"/>
        <v>21300</v>
      </c>
      <c r="O734" s="39">
        <f t="shared" si="78"/>
        <v>19363.63636363636</v>
      </c>
      <c r="P734" s="14">
        <f t="shared" si="77"/>
        <v>18652</v>
      </c>
    </row>
    <row r="735" spans="1:17" x14ac:dyDescent="0.3">
      <c r="A735" s="7">
        <v>45523</v>
      </c>
      <c r="B735" s="8" t="s">
        <v>41</v>
      </c>
      <c r="C735" s="9">
        <f>9.95/1.1</f>
        <v>9.0454545454545432</v>
      </c>
      <c r="D735" s="9">
        <f>12.5/1.1</f>
        <v>11.363636363636363</v>
      </c>
      <c r="E735" s="12">
        <v>28000</v>
      </c>
      <c r="F735" s="12">
        <v>4000</v>
      </c>
      <c r="G735" s="11" t="s">
        <v>27</v>
      </c>
      <c r="H735" s="12">
        <v>28000</v>
      </c>
      <c r="I735" s="13">
        <v>4000</v>
      </c>
      <c r="J735" s="11"/>
      <c r="K735" s="14">
        <f t="shared" si="79"/>
        <v>37200.000000000058</v>
      </c>
      <c r="L735" s="15">
        <v>11.25</v>
      </c>
      <c r="M735" s="15">
        <v>13.63</v>
      </c>
      <c r="N735" s="16">
        <f t="shared" si="80"/>
        <v>369520</v>
      </c>
      <c r="O735" s="39">
        <f t="shared" si="78"/>
        <v>335927.27272727271</v>
      </c>
      <c r="P735" s="14">
        <f t="shared" si="77"/>
        <v>298727.27272727265</v>
      </c>
    </row>
    <row r="736" spans="1:17" x14ac:dyDescent="0.3">
      <c r="A736" s="7">
        <v>45524</v>
      </c>
      <c r="B736" s="8" t="s">
        <v>19</v>
      </c>
      <c r="C736" s="9">
        <v>9.3260000000000005</v>
      </c>
      <c r="D736" s="9">
        <v>11.055</v>
      </c>
      <c r="E736" s="12">
        <v>3000</v>
      </c>
      <c r="F736" s="12"/>
      <c r="G736" s="11" t="s">
        <v>30</v>
      </c>
      <c r="H736" s="12">
        <v>3000</v>
      </c>
      <c r="I736" s="13"/>
      <c r="J736" s="11"/>
      <c r="K736" s="14">
        <f t="shared" si="79"/>
        <v>1067.4545454545441</v>
      </c>
      <c r="L736" s="15">
        <v>10.65</v>
      </c>
      <c r="M736" s="15"/>
      <c r="N736" s="16">
        <f t="shared" si="80"/>
        <v>31950</v>
      </c>
      <c r="O736" s="39">
        <f t="shared" si="78"/>
        <v>29045.454545454544</v>
      </c>
      <c r="P736" s="14">
        <f t="shared" si="77"/>
        <v>27978</v>
      </c>
    </row>
    <row r="737" spans="1:17" x14ac:dyDescent="0.3">
      <c r="A737" s="7">
        <v>45526</v>
      </c>
      <c r="B737" s="8" t="s">
        <v>39</v>
      </c>
      <c r="C737" s="9">
        <v>9.0449999999999999</v>
      </c>
      <c r="D737" s="9">
        <v>10.96</v>
      </c>
      <c r="E737" s="10">
        <v>25000</v>
      </c>
      <c r="F737" s="10">
        <v>7000</v>
      </c>
      <c r="G737" s="11" t="s">
        <v>30</v>
      </c>
      <c r="H737" s="12">
        <v>18000</v>
      </c>
      <c r="I737" s="13"/>
      <c r="J737" s="11"/>
      <c r="K737" s="14">
        <f t="shared" si="79"/>
        <v>11462.727272727265</v>
      </c>
      <c r="L737" s="15">
        <v>10.65</v>
      </c>
      <c r="M737" s="15"/>
      <c r="N737" s="16">
        <f t="shared" si="80"/>
        <v>191700</v>
      </c>
      <c r="O737" s="39">
        <f t="shared" si="78"/>
        <v>174272.72727272726</v>
      </c>
      <c r="P737" s="14">
        <f t="shared" si="77"/>
        <v>162810</v>
      </c>
    </row>
    <row r="738" spans="1:17" hidden="1" x14ac:dyDescent="0.3">
      <c r="A738" s="7">
        <v>45526</v>
      </c>
      <c r="B738" s="8" t="s">
        <v>39</v>
      </c>
      <c r="C738" s="9">
        <v>9.0449999999999999</v>
      </c>
      <c r="D738" s="9">
        <v>10.96</v>
      </c>
      <c r="E738" s="21"/>
      <c r="F738" s="21"/>
      <c r="G738" s="11" t="s">
        <v>22</v>
      </c>
      <c r="H738" s="12">
        <v>7000</v>
      </c>
      <c r="I738" s="13">
        <v>7000</v>
      </c>
      <c r="J738" s="11"/>
      <c r="K738" s="14">
        <f t="shared" si="79"/>
        <v>-140035</v>
      </c>
      <c r="L738" s="15"/>
      <c r="M738" s="15"/>
      <c r="N738" s="16">
        <f t="shared" si="80"/>
        <v>0</v>
      </c>
      <c r="O738" s="39">
        <f t="shared" si="78"/>
        <v>0</v>
      </c>
      <c r="P738" s="14">
        <f t="shared" si="77"/>
        <v>140035</v>
      </c>
    </row>
    <row r="739" spans="1:17" x14ac:dyDescent="0.3">
      <c r="A739" s="7">
        <v>45526</v>
      </c>
      <c r="B739" s="8" t="s">
        <v>43</v>
      </c>
      <c r="C739" s="9">
        <v>9.1259999999999994</v>
      </c>
      <c r="D739" s="9">
        <v>10.976000000000001</v>
      </c>
      <c r="E739" s="10">
        <v>27000</v>
      </c>
      <c r="F739" s="10">
        <v>23000</v>
      </c>
      <c r="G739" s="11" t="s">
        <v>33</v>
      </c>
      <c r="H739" s="12">
        <v>20000</v>
      </c>
      <c r="I739" s="13">
        <v>13000</v>
      </c>
      <c r="J739" s="11"/>
      <c r="K739" s="14">
        <f t="shared" si="79"/>
        <v>4610.1818181817653</v>
      </c>
      <c r="L739" s="15">
        <v>10.08</v>
      </c>
      <c r="M739" s="15">
        <v>12.4</v>
      </c>
      <c r="N739" s="16">
        <f t="shared" si="80"/>
        <v>362800</v>
      </c>
      <c r="O739" s="39">
        <f t="shared" si="78"/>
        <v>329818.18181818177</v>
      </c>
      <c r="P739" s="14">
        <f t="shared" si="77"/>
        <v>325208</v>
      </c>
    </row>
    <row r="740" spans="1:17" x14ac:dyDescent="0.3">
      <c r="A740" s="7">
        <v>45526</v>
      </c>
      <c r="B740" s="8" t="s">
        <v>43</v>
      </c>
      <c r="C740" s="9">
        <v>9.1259999999999994</v>
      </c>
      <c r="D740" s="9">
        <v>10.976000000000001</v>
      </c>
      <c r="E740" s="21"/>
      <c r="F740" s="21"/>
      <c r="G740" s="11" t="s">
        <v>33</v>
      </c>
      <c r="H740" s="12">
        <v>7000</v>
      </c>
      <c r="I740" s="13">
        <v>10000</v>
      </c>
      <c r="J740" s="11"/>
      <c r="K740" s="14">
        <f t="shared" si="79"/>
        <v>3230.7272727272648</v>
      </c>
      <c r="L740" s="15">
        <v>10.08</v>
      </c>
      <c r="M740" s="15">
        <v>12.4</v>
      </c>
      <c r="N740" s="16">
        <f t="shared" si="80"/>
        <v>194560</v>
      </c>
      <c r="O740" s="39">
        <f t="shared" si="78"/>
        <v>176872.72727272726</v>
      </c>
      <c r="P740" s="14">
        <f t="shared" si="77"/>
        <v>173642</v>
      </c>
      <c r="Q740" s="32"/>
    </row>
    <row r="741" spans="1:17" hidden="1" x14ac:dyDescent="0.3">
      <c r="A741" s="7">
        <v>45526</v>
      </c>
      <c r="B741" s="8" t="s">
        <v>45</v>
      </c>
      <c r="C741" s="9">
        <f>10.12/1.1</f>
        <v>9.1999999999999993</v>
      </c>
      <c r="D741" s="9"/>
      <c r="E741" s="12">
        <v>10000</v>
      </c>
      <c r="F741" s="12"/>
      <c r="G741" s="11" t="s">
        <v>22</v>
      </c>
      <c r="H741" s="12">
        <v>10000</v>
      </c>
      <c r="I741" s="13"/>
      <c r="J741" s="11"/>
      <c r="K741" s="14">
        <f t="shared" si="79"/>
        <v>-92000</v>
      </c>
      <c r="L741" s="15"/>
      <c r="M741" s="15"/>
      <c r="N741" s="16">
        <f t="shared" si="80"/>
        <v>0</v>
      </c>
      <c r="O741" s="39">
        <f t="shared" si="78"/>
        <v>0</v>
      </c>
      <c r="P741" s="14">
        <f t="shared" si="77"/>
        <v>92000</v>
      </c>
      <c r="Q741" s="32"/>
    </row>
    <row r="742" spans="1:17" x14ac:dyDescent="0.3">
      <c r="A742" s="7">
        <v>45526</v>
      </c>
      <c r="B742" s="8" t="s">
        <v>19</v>
      </c>
      <c r="C742" s="9">
        <v>9.3260000000000005</v>
      </c>
      <c r="D742" s="9">
        <v>11.055</v>
      </c>
      <c r="E742" s="12"/>
      <c r="F742" s="12">
        <v>4000</v>
      </c>
      <c r="G742" s="11" t="s">
        <v>17</v>
      </c>
      <c r="H742" s="12"/>
      <c r="I742" s="13">
        <v>4000</v>
      </c>
      <c r="J742" s="11"/>
      <c r="K742" s="14">
        <f t="shared" si="79"/>
        <v>870.90909090908826</v>
      </c>
      <c r="L742" s="15"/>
      <c r="M742" s="15">
        <v>12.4</v>
      </c>
      <c r="N742" s="16">
        <f t="shared" si="80"/>
        <v>49600</v>
      </c>
      <c r="O742" s="17">
        <f t="shared" si="78"/>
        <v>45090.909090909088</v>
      </c>
      <c r="P742" s="18">
        <f t="shared" si="77"/>
        <v>44220</v>
      </c>
      <c r="Q742" s="32"/>
    </row>
    <row r="743" spans="1:17" x14ac:dyDescent="0.3">
      <c r="A743" s="7">
        <v>45527</v>
      </c>
      <c r="B743" s="8" t="s">
        <v>43</v>
      </c>
      <c r="C743" s="9">
        <v>9.1259999999999994</v>
      </c>
      <c r="D743" s="9">
        <v>10.976000000000001</v>
      </c>
      <c r="E743" s="10">
        <v>30000</v>
      </c>
      <c r="F743" s="10">
        <v>20000</v>
      </c>
      <c r="G743" s="11" t="s">
        <v>33</v>
      </c>
      <c r="H743" s="12">
        <v>20000</v>
      </c>
      <c r="I743" s="13">
        <v>13000</v>
      </c>
      <c r="J743" s="11"/>
      <c r="K743" s="14">
        <f t="shared" si="79"/>
        <v>4610.1818181817653</v>
      </c>
      <c r="L743" s="15">
        <v>10.08</v>
      </c>
      <c r="M743" s="15">
        <v>12.4</v>
      </c>
      <c r="N743" s="16">
        <f t="shared" si="80"/>
        <v>362800</v>
      </c>
      <c r="O743" s="17">
        <f t="shared" si="78"/>
        <v>329818.18181818177</v>
      </c>
      <c r="P743" s="18">
        <f t="shared" si="77"/>
        <v>325208</v>
      </c>
      <c r="Q743" s="32">
        <v>360800</v>
      </c>
    </row>
    <row r="744" spans="1:17" x14ac:dyDescent="0.3">
      <c r="A744" s="7">
        <v>45527</v>
      </c>
      <c r="B744" s="8" t="s">
        <v>43</v>
      </c>
      <c r="C744" s="9">
        <v>9.1259999999999994</v>
      </c>
      <c r="D744" s="9">
        <v>10.976000000000001</v>
      </c>
      <c r="E744" s="21"/>
      <c r="F744" s="21"/>
      <c r="G744" s="26" t="s">
        <v>33</v>
      </c>
      <c r="H744" s="12">
        <v>10000</v>
      </c>
      <c r="I744" s="13">
        <v>7000</v>
      </c>
      <c r="J744" s="11"/>
      <c r="K744" s="14">
        <f t="shared" si="79"/>
        <v>2453.4545454545296</v>
      </c>
      <c r="L744" s="15">
        <v>10.08</v>
      </c>
      <c r="M744" s="15">
        <v>12.4</v>
      </c>
      <c r="N744" s="16">
        <f t="shared" si="80"/>
        <v>187600</v>
      </c>
      <c r="O744" s="17">
        <f t="shared" si="78"/>
        <v>170545.45454545453</v>
      </c>
      <c r="P744" s="18">
        <f t="shared" si="77"/>
        <v>168092</v>
      </c>
      <c r="Q744" s="32"/>
    </row>
    <row r="745" spans="1:17" x14ac:dyDescent="0.3">
      <c r="A745" s="7">
        <v>45527</v>
      </c>
      <c r="B745" s="8" t="s">
        <v>39</v>
      </c>
      <c r="C745" s="9">
        <v>9.0449999999999999</v>
      </c>
      <c r="D745" s="9">
        <v>10.96</v>
      </c>
      <c r="E745" s="12">
        <v>28000</v>
      </c>
      <c r="F745" s="12">
        <v>4000</v>
      </c>
      <c r="G745" s="11" t="s">
        <v>21</v>
      </c>
      <c r="H745" s="12">
        <v>28000</v>
      </c>
      <c r="I745" s="13">
        <v>4000</v>
      </c>
      <c r="J745" s="11"/>
      <c r="K745" s="14">
        <f>O745-P745</f>
        <v>49954.545454545412</v>
      </c>
      <c r="L745" s="15">
        <v>11.65</v>
      </c>
      <c r="M745" s="15">
        <v>13.89</v>
      </c>
      <c r="N745" s="16">
        <f>(H745*L745+(I745*M745))</f>
        <v>381760</v>
      </c>
      <c r="O745" s="17">
        <f t="shared" si="78"/>
        <v>347054.54545454541</v>
      </c>
      <c r="P745" s="18">
        <f t="shared" si="77"/>
        <v>297100</v>
      </c>
      <c r="Q745" s="32"/>
    </row>
    <row r="746" spans="1:17" x14ac:dyDescent="0.3">
      <c r="A746" s="7">
        <v>45528</v>
      </c>
      <c r="B746" s="8" t="s">
        <v>39</v>
      </c>
      <c r="C746" s="9">
        <v>9.0449999999999999</v>
      </c>
      <c r="D746" s="9">
        <v>10.96</v>
      </c>
      <c r="E746" s="12">
        <v>10000</v>
      </c>
      <c r="F746" s="12">
        <v>7000</v>
      </c>
      <c r="G746" s="20" t="s">
        <v>25</v>
      </c>
      <c r="H746" s="12">
        <v>10000</v>
      </c>
      <c r="I746" s="13">
        <v>7000</v>
      </c>
      <c r="J746" s="11"/>
      <c r="K746" s="14">
        <f t="shared" si="79"/>
        <v>29257.272727272706</v>
      </c>
      <c r="L746" s="15">
        <v>11.8</v>
      </c>
      <c r="M746" s="15">
        <v>14.01</v>
      </c>
      <c r="N746" s="16">
        <f t="shared" si="80"/>
        <v>216070</v>
      </c>
      <c r="O746" s="17">
        <f t="shared" si="78"/>
        <v>196427.27272727271</v>
      </c>
      <c r="P746" s="18">
        <f t="shared" si="77"/>
        <v>167170</v>
      </c>
      <c r="Q746" s="32"/>
    </row>
    <row r="747" spans="1:17" x14ac:dyDescent="0.3">
      <c r="A747" s="7">
        <v>45528</v>
      </c>
      <c r="B747" s="8" t="s">
        <v>43</v>
      </c>
      <c r="C747" s="9">
        <v>9.1259999999999994</v>
      </c>
      <c r="D747" s="9">
        <v>10.976000000000001</v>
      </c>
      <c r="E747" s="10">
        <v>57000</v>
      </c>
      <c r="F747" s="10">
        <v>9000</v>
      </c>
      <c r="G747" s="11" t="s">
        <v>27</v>
      </c>
      <c r="H747" s="12">
        <v>29000</v>
      </c>
      <c r="I747" s="13">
        <v>4000</v>
      </c>
      <c r="J747" s="11"/>
      <c r="K747" s="14">
        <f t="shared" si="79"/>
        <v>37596.545454545412</v>
      </c>
      <c r="L747" s="15">
        <v>11.25</v>
      </c>
      <c r="M747" s="15">
        <v>13.63</v>
      </c>
      <c r="N747" s="16">
        <f t="shared" si="80"/>
        <v>380770</v>
      </c>
      <c r="O747" s="17">
        <f t="shared" si="78"/>
        <v>346154.54545454541</v>
      </c>
      <c r="P747" s="18">
        <f t="shared" si="77"/>
        <v>308558</v>
      </c>
      <c r="Q747" s="32"/>
    </row>
    <row r="748" spans="1:17" x14ac:dyDescent="0.3">
      <c r="A748" s="7">
        <v>45528</v>
      </c>
      <c r="B748" s="8" t="s">
        <v>43</v>
      </c>
      <c r="C748" s="9">
        <v>9.1259999999999994</v>
      </c>
      <c r="D748" s="9">
        <v>10.976000000000001</v>
      </c>
      <c r="E748" s="21"/>
      <c r="F748" s="21"/>
      <c r="G748" s="11" t="s">
        <v>33</v>
      </c>
      <c r="H748" s="12">
        <v>28000</v>
      </c>
      <c r="I748" s="13">
        <v>5000</v>
      </c>
      <c r="J748" s="11"/>
      <c r="K748" s="14">
        <f t="shared" si="79"/>
        <v>2537.4545454545296</v>
      </c>
      <c r="L748" s="15">
        <v>10.08</v>
      </c>
      <c r="M748" s="15">
        <v>12.4</v>
      </c>
      <c r="N748" s="16">
        <f t="shared" si="80"/>
        <v>344240</v>
      </c>
      <c r="O748" s="17">
        <f t="shared" si="78"/>
        <v>312945.45454545453</v>
      </c>
      <c r="P748" s="18">
        <f t="shared" si="77"/>
        <v>310408</v>
      </c>
      <c r="Q748" s="32">
        <v>341440</v>
      </c>
    </row>
    <row r="749" spans="1:17" x14ac:dyDescent="0.3">
      <c r="A749" s="7">
        <v>45530</v>
      </c>
      <c r="B749" s="8" t="s">
        <v>39</v>
      </c>
      <c r="C749" s="9">
        <v>9.0449999999999999</v>
      </c>
      <c r="D749" s="9">
        <v>10.96</v>
      </c>
      <c r="E749" s="12">
        <v>28000</v>
      </c>
      <c r="F749" s="12">
        <v>4000</v>
      </c>
      <c r="G749" s="11" t="s">
        <v>31</v>
      </c>
      <c r="H749" s="12">
        <v>28000</v>
      </c>
      <c r="I749" s="13">
        <v>4000</v>
      </c>
      <c r="J749" s="11"/>
      <c r="K749" s="14">
        <f t="shared" si="79"/>
        <v>41881.818181818177</v>
      </c>
      <c r="L749" s="15">
        <v>11.38</v>
      </c>
      <c r="M749" s="15">
        <v>13.56</v>
      </c>
      <c r="N749" s="16">
        <f t="shared" si="80"/>
        <v>372880</v>
      </c>
      <c r="O749" s="17">
        <f t="shared" si="78"/>
        <v>338981.81818181818</v>
      </c>
      <c r="P749" s="18">
        <f t="shared" si="77"/>
        <v>297100</v>
      </c>
      <c r="Q749" s="32"/>
    </row>
    <row r="750" spans="1:17" x14ac:dyDescent="0.3">
      <c r="A750" s="7">
        <v>45532</v>
      </c>
      <c r="B750" s="8" t="s">
        <v>39</v>
      </c>
      <c r="C750" s="9">
        <v>9.0449999999999999</v>
      </c>
      <c r="D750" s="9">
        <v>10.96</v>
      </c>
      <c r="E750" s="10">
        <v>52000</v>
      </c>
      <c r="F750" s="10">
        <v>13000</v>
      </c>
      <c r="G750" s="11" t="s">
        <v>17</v>
      </c>
      <c r="H750" s="12">
        <v>20000</v>
      </c>
      <c r="I750" s="13">
        <v>13000</v>
      </c>
      <c r="J750" s="11"/>
      <c r="K750" s="14">
        <f t="shared" si="79"/>
        <v>4620</v>
      </c>
      <c r="L750" s="15">
        <v>9.98</v>
      </c>
      <c r="M750" s="15">
        <v>12.4</v>
      </c>
      <c r="N750" s="16">
        <f t="shared" si="80"/>
        <v>360800</v>
      </c>
      <c r="O750" s="17">
        <f t="shared" si="78"/>
        <v>328000</v>
      </c>
      <c r="P750" s="18">
        <f t="shared" si="77"/>
        <v>323380</v>
      </c>
      <c r="Q750" s="32"/>
    </row>
    <row r="751" spans="1:17" x14ac:dyDescent="0.3">
      <c r="A751" s="7">
        <v>45532</v>
      </c>
      <c r="B751" s="8" t="s">
        <v>39</v>
      </c>
      <c r="C751" s="9">
        <v>9.0449999999999999</v>
      </c>
      <c r="D751" s="9">
        <v>10.96</v>
      </c>
      <c r="E751" s="19"/>
      <c r="F751" s="19"/>
      <c r="G751" s="11" t="s">
        <v>23</v>
      </c>
      <c r="H751" s="12">
        <v>22000</v>
      </c>
      <c r="I751" s="13"/>
      <c r="J751" s="11"/>
      <c r="K751" s="14">
        <f t="shared" si="79"/>
        <v>32409.999999999971</v>
      </c>
      <c r="L751" s="15">
        <v>11.57</v>
      </c>
      <c r="M751" s="15">
        <v>13.86</v>
      </c>
      <c r="N751" s="16">
        <f t="shared" si="80"/>
        <v>254540</v>
      </c>
      <c r="O751" s="17">
        <f>N751/1.1</f>
        <v>231399.99999999997</v>
      </c>
      <c r="P751" s="18">
        <f t="shared" si="77"/>
        <v>198990</v>
      </c>
      <c r="Q751" s="32"/>
    </row>
    <row r="752" spans="1:17" hidden="1" x14ac:dyDescent="0.3">
      <c r="A752" s="7">
        <v>45532</v>
      </c>
      <c r="B752" s="8" t="s">
        <v>39</v>
      </c>
      <c r="C752" s="9">
        <v>9.0449999999999999</v>
      </c>
      <c r="D752" s="9">
        <v>10.96</v>
      </c>
      <c r="E752" s="21"/>
      <c r="F752" s="21"/>
      <c r="G752" s="11" t="s">
        <v>22</v>
      </c>
      <c r="H752" s="12">
        <v>10000</v>
      </c>
      <c r="I752" s="13"/>
      <c r="J752" s="11"/>
      <c r="K752" s="14">
        <f t="shared" si="79"/>
        <v>-90450</v>
      </c>
      <c r="L752" s="15"/>
      <c r="M752" s="15"/>
      <c r="N752" s="16">
        <f t="shared" si="80"/>
        <v>0</v>
      </c>
      <c r="O752" s="17">
        <f t="shared" si="78"/>
        <v>0</v>
      </c>
      <c r="P752" s="18">
        <f t="shared" si="77"/>
        <v>90450</v>
      </c>
    </row>
    <row r="753" spans="1:17" x14ac:dyDescent="0.3">
      <c r="A753" s="7">
        <v>45533</v>
      </c>
      <c r="B753" s="8" t="s">
        <v>39</v>
      </c>
      <c r="C753" s="9">
        <v>9.0449999999999999</v>
      </c>
      <c r="D753" s="9">
        <v>10.96</v>
      </c>
      <c r="E753" s="10">
        <v>60000</v>
      </c>
      <c r="F753" s="10">
        <v>22000</v>
      </c>
      <c r="G753" s="11" t="s">
        <v>17</v>
      </c>
      <c r="H753" s="12">
        <v>7000</v>
      </c>
      <c r="I753" s="13">
        <v>10000</v>
      </c>
      <c r="J753" s="11"/>
      <c r="K753" s="14">
        <f t="shared" si="79"/>
        <v>3321.3636363636178</v>
      </c>
      <c r="L753" s="15">
        <v>9.98</v>
      </c>
      <c r="M753" s="15">
        <v>12.4</v>
      </c>
      <c r="N753" s="16">
        <f t="shared" si="80"/>
        <v>193860</v>
      </c>
      <c r="O753" s="17">
        <f t="shared" si="78"/>
        <v>176236.36363636362</v>
      </c>
      <c r="P753" s="18">
        <f t="shared" si="77"/>
        <v>172915</v>
      </c>
    </row>
    <row r="754" spans="1:17" x14ac:dyDescent="0.3">
      <c r="A754" s="7">
        <v>45533</v>
      </c>
      <c r="B754" s="8" t="s">
        <v>39</v>
      </c>
      <c r="C754" s="9">
        <v>9.0449999999999999</v>
      </c>
      <c r="D754" s="9">
        <v>10.96</v>
      </c>
      <c r="E754" s="19"/>
      <c r="F754" s="19"/>
      <c r="G754" s="11" t="s">
        <v>17</v>
      </c>
      <c r="H754" s="12">
        <v>33000</v>
      </c>
      <c r="I754" s="13"/>
      <c r="J754" s="11"/>
      <c r="K754" s="14">
        <f t="shared" si="79"/>
        <v>915</v>
      </c>
      <c r="L754" s="15">
        <v>9.98</v>
      </c>
      <c r="M754" s="15">
        <v>12.4</v>
      </c>
      <c r="N754" s="16">
        <f t="shared" si="80"/>
        <v>329340</v>
      </c>
      <c r="O754" s="17">
        <f t="shared" si="78"/>
        <v>299400</v>
      </c>
      <c r="P754" s="18">
        <f t="shared" si="77"/>
        <v>298485</v>
      </c>
    </row>
    <row r="755" spans="1:17" x14ac:dyDescent="0.3">
      <c r="A755" s="7">
        <v>45533</v>
      </c>
      <c r="B755" s="8" t="s">
        <v>39</v>
      </c>
      <c r="C755" s="9">
        <v>9.0449999999999999</v>
      </c>
      <c r="D755" s="9">
        <v>10.96</v>
      </c>
      <c r="E755" s="19"/>
      <c r="F755" s="19"/>
      <c r="G755" s="11" t="s">
        <v>28</v>
      </c>
      <c r="H755" s="12">
        <v>6000</v>
      </c>
      <c r="I755" s="13">
        <v>10000</v>
      </c>
      <c r="J755" s="11"/>
      <c r="K755" s="29">
        <f>O755-P755</f>
        <v>25184.545454545441</v>
      </c>
      <c r="L755" s="15">
        <v>11.66</v>
      </c>
      <c r="M755" s="15">
        <v>13.8</v>
      </c>
      <c r="N755" s="16">
        <f t="shared" si="80"/>
        <v>207960</v>
      </c>
      <c r="O755" s="17">
        <f t="shared" si="78"/>
        <v>189054.54545454544</v>
      </c>
      <c r="P755" s="18">
        <f t="shared" si="77"/>
        <v>163870</v>
      </c>
    </row>
    <row r="756" spans="1:17" x14ac:dyDescent="0.3">
      <c r="A756" s="7">
        <v>45533</v>
      </c>
      <c r="B756" s="8" t="s">
        <v>39</v>
      </c>
      <c r="C756" s="9">
        <v>9.0449999999999999</v>
      </c>
      <c r="D756" s="9">
        <v>10.96</v>
      </c>
      <c r="E756" s="21"/>
      <c r="F756" s="21"/>
      <c r="G756" s="11" t="s">
        <v>29</v>
      </c>
      <c r="H756" s="12">
        <v>14000</v>
      </c>
      <c r="I756" s="13">
        <v>2000</v>
      </c>
      <c r="J756" s="11"/>
      <c r="K756" s="14">
        <f t="shared" si="79"/>
        <v>24522.727272727265</v>
      </c>
      <c r="L756" s="15">
        <v>11.62</v>
      </c>
      <c r="M756" s="15">
        <v>13.85</v>
      </c>
      <c r="N756" s="16">
        <f t="shared" si="80"/>
        <v>190380</v>
      </c>
      <c r="O756" s="17">
        <f t="shared" si="78"/>
        <v>173072.72727272726</v>
      </c>
      <c r="P756" s="18">
        <f t="shared" si="77"/>
        <v>148550</v>
      </c>
    </row>
    <row r="757" spans="1:17" x14ac:dyDescent="0.3">
      <c r="A757" s="7">
        <v>45534</v>
      </c>
      <c r="B757" s="8" t="s">
        <v>39</v>
      </c>
      <c r="C757" s="9">
        <v>9.0449999999999999</v>
      </c>
      <c r="D757" s="9">
        <v>10.96</v>
      </c>
      <c r="E757" s="10">
        <v>50000</v>
      </c>
      <c r="F757" s="10">
        <v>16000</v>
      </c>
      <c r="G757" s="11" t="s">
        <v>17</v>
      </c>
      <c r="H757" s="13">
        <v>23000</v>
      </c>
      <c r="I757" s="13">
        <v>10000</v>
      </c>
      <c r="J757" s="11"/>
      <c r="K757" s="14">
        <f t="shared" si="79"/>
        <v>3765</v>
      </c>
      <c r="L757" s="15">
        <v>9.98</v>
      </c>
      <c r="M757" s="15">
        <v>12.4</v>
      </c>
      <c r="N757" s="16">
        <f t="shared" si="80"/>
        <v>353540</v>
      </c>
      <c r="O757" s="17">
        <f t="shared" si="78"/>
        <v>321400</v>
      </c>
      <c r="P757" s="18">
        <f t="shared" si="77"/>
        <v>317635</v>
      </c>
    </row>
    <row r="758" spans="1:17" x14ac:dyDescent="0.3">
      <c r="A758" s="7">
        <v>45534</v>
      </c>
      <c r="B758" s="8" t="s">
        <v>39</v>
      </c>
      <c r="C758" s="9">
        <v>9.0449999999999999</v>
      </c>
      <c r="D758" s="9">
        <v>10.96</v>
      </c>
      <c r="E758" s="21"/>
      <c r="F758" s="21"/>
      <c r="G758" s="11" t="s">
        <v>17</v>
      </c>
      <c r="H758" s="13">
        <v>27000</v>
      </c>
      <c r="I758" s="13">
        <v>6000</v>
      </c>
      <c r="J758" s="11"/>
      <c r="K758" s="14">
        <f t="shared" si="79"/>
        <v>2625</v>
      </c>
      <c r="L758" s="15">
        <v>9.98</v>
      </c>
      <c r="M758" s="15">
        <v>12.4</v>
      </c>
      <c r="N758" s="16">
        <f t="shared" si="80"/>
        <v>343860</v>
      </c>
      <c r="O758" s="17">
        <f t="shared" si="78"/>
        <v>312600</v>
      </c>
      <c r="P758" s="18">
        <f t="shared" ref="P758:P821" si="81">(C758*H758)+(I758*D758)</f>
        <v>309975</v>
      </c>
    </row>
    <row r="759" spans="1:17" x14ac:dyDescent="0.3">
      <c r="A759" s="7">
        <v>45535</v>
      </c>
      <c r="B759" s="8" t="s">
        <v>43</v>
      </c>
      <c r="C759" s="9">
        <v>9.1259999999999994</v>
      </c>
      <c r="D759" s="9">
        <v>10.976000000000001</v>
      </c>
      <c r="E759" s="10">
        <v>35000</v>
      </c>
      <c r="F759" s="10">
        <v>15000</v>
      </c>
      <c r="G759" s="11" t="s">
        <v>27</v>
      </c>
      <c r="H759" s="13">
        <v>29000</v>
      </c>
      <c r="I759" s="13">
        <v>4000</v>
      </c>
      <c r="J759" s="11"/>
      <c r="K759" s="14">
        <f t="shared" si="79"/>
        <v>37596.545454545412</v>
      </c>
      <c r="L759" s="15">
        <v>11.25</v>
      </c>
      <c r="M759" s="15">
        <v>13.63</v>
      </c>
      <c r="N759" s="16">
        <f t="shared" si="80"/>
        <v>380770</v>
      </c>
      <c r="O759" s="17">
        <f t="shared" ref="O759:O763" si="82">N759/1.1</f>
        <v>346154.54545454541</v>
      </c>
      <c r="P759" s="18">
        <f t="shared" si="81"/>
        <v>308558</v>
      </c>
    </row>
    <row r="760" spans="1:17" x14ac:dyDescent="0.3">
      <c r="A760" s="7">
        <v>45535</v>
      </c>
      <c r="B760" s="8" t="s">
        <v>43</v>
      </c>
      <c r="C760" s="9">
        <v>9.1259999999999994</v>
      </c>
      <c r="D760" s="9">
        <v>10.976000000000001</v>
      </c>
      <c r="E760" s="19"/>
      <c r="F760" s="19"/>
      <c r="G760" s="11" t="s">
        <v>23</v>
      </c>
      <c r="H760" s="13">
        <v>0</v>
      </c>
      <c r="I760" s="13">
        <v>7000</v>
      </c>
      <c r="J760" s="11"/>
      <c r="K760" s="14">
        <f t="shared" ref="K760:K763" si="83">O760-P760</f>
        <v>11368</v>
      </c>
      <c r="L760" s="15">
        <v>11.57</v>
      </c>
      <c r="M760" s="15">
        <v>13.86</v>
      </c>
      <c r="N760" s="16">
        <f t="shared" si="80"/>
        <v>97020</v>
      </c>
      <c r="O760" s="17">
        <f t="shared" si="82"/>
        <v>88200</v>
      </c>
      <c r="P760" s="18">
        <f t="shared" si="81"/>
        <v>76832</v>
      </c>
    </row>
    <row r="761" spans="1:17" hidden="1" x14ac:dyDescent="0.3">
      <c r="A761" s="7">
        <v>45535</v>
      </c>
      <c r="B761" s="8" t="s">
        <v>43</v>
      </c>
      <c r="C761" s="9">
        <v>9.1259999999999994</v>
      </c>
      <c r="D761" s="9">
        <v>10.976000000000001</v>
      </c>
      <c r="E761" s="21"/>
      <c r="F761" s="21"/>
      <c r="G761" s="20" t="s">
        <v>22</v>
      </c>
      <c r="H761" s="12">
        <v>6000</v>
      </c>
      <c r="I761" s="13">
        <v>4000</v>
      </c>
      <c r="J761" s="11"/>
      <c r="K761" s="14">
        <f t="shared" si="83"/>
        <v>-98660</v>
      </c>
      <c r="L761" s="15"/>
      <c r="M761" s="15"/>
      <c r="N761" s="16">
        <f t="shared" si="80"/>
        <v>0</v>
      </c>
      <c r="O761" s="17">
        <f t="shared" si="82"/>
        <v>0</v>
      </c>
      <c r="P761" s="18">
        <f t="shared" si="81"/>
        <v>98660</v>
      </c>
    </row>
    <row r="762" spans="1:17" x14ac:dyDescent="0.3">
      <c r="A762" s="7">
        <v>45535</v>
      </c>
      <c r="B762" s="8" t="s">
        <v>39</v>
      </c>
      <c r="C762" s="9">
        <v>9.0449999999999999</v>
      </c>
      <c r="D762" s="9">
        <v>10.96</v>
      </c>
      <c r="E762" s="12">
        <v>30000</v>
      </c>
      <c r="F762" s="12">
        <v>3000</v>
      </c>
      <c r="G762" s="11" t="s">
        <v>17</v>
      </c>
      <c r="H762" s="12">
        <v>30000</v>
      </c>
      <c r="I762" s="13">
        <v>3000</v>
      </c>
      <c r="J762" s="11"/>
      <c r="K762" s="14">
        <f t="shared" si="83"/>
        <v>1770</v>
      </c>
      <c r="L762" s="15">
        <v>9.98</v>
      </c>
      <c r="M762" s="15">
        <v>12.4</v>
      </c>
      <c r="N762" s="16">
        <f t="shared" si="80"/>
        <v>336600</v>
      </c>
      <c r="O762" s="17">
        <f t="shared" si="82"/>
        <v>306000</v>
      </c>
      <c r="P762" s="18">
        <f t="shared" si="81"/>
        <v>304230</v>
      </c>
    </row>
    <row r="763" spans="1:17" x14ac:dyDescent="0.3">
      <c r="A763" s="7">
        <v>45535</v>
      </c>
      <c r="B763" s="8" t="s">
        <v>19</v>
      </c>
      <c r="C763" s="9">
        <v>9.1259999999999994</v>
      </c>
      <c r="D763" s="9">
        <v>10.976000000000001</v>
      </c>
      <c r="E763" s="12"/>
      <c r="F763" s="12">
        <v>1000</v>
      </c>
      <c r="G763" s="11" t="s">
        <v>17</v>
      </c>
      <c r="H763" s="12"/>
      <c r="I763" s="13">
        <v>1000</v>
      </c>
      <c r="J763" s="11"/>
      <c r="K763" s="29">
        <f t="shared" si="83"/>
        <v>296.72727272727207</v>
      </c>
      <c r="L763" s="15">
        <v>9.98</v>
      </c>
      <c r="M763" s="15">
        <v>12.4</v>
      </c>
      <c r="N763" s="16">
        <f t="shared" si="80"/>
        <v>12400</v>
      </c>
      <c r="O763" s="17">
        <f t="shared" si="82"/>
        <v>11272.727272727272</v>
      </c>
      <c r="P763" s="18">
        <f t="shared" si="81"/>
        <v>10976</v>
      </c>
      <c r="Q763" s="32"/>
    </row>
    <row r="764" spans="1:17" hidden="1" x14ac:dyDescent="0.3">
      <c r="A764" s="7">
        <v>45539</v>
      </c>
      <c r="B764" s="8" t="s">
        <v>39</v>
      </c>
      <c r="C764" s="9">
        <v>8.82</v>
      </c>
      <c r="D764" s="9">
        <v>10.56</v>
      </c>
      <c r="E764" s="10">
        <v>55000</v>
      </c>
      <c r="F764" s="10">
        <v>10000</v>
      </c>
      <c r="G764" s="20" t="s">
        <v>22</v>
      </c>
      <c r="H764" s="12">
        <v>22000</v>
      </c>
      <c r="I764" s="13">
        <v>10000</v>
      </c>
      <c r="J764" s="11"/>
      <c r="K764" s="14">
        <f>O764-P764</f>
        <v>-299640</v>
      </c>
      <c r="L764" s="15"/>
      <c r="M764" s="15"/>
      <c r="N764" s="16">
        <f t="shared" si="80"/>
        <v>0</v>
      </c>
      <c r="O764" s="39">
        <f>N764/1.1</f>
        <v>0</v>
      </c>
      <c r="P764" s="14">
        <f t="shared" si="81"/>
        <v>299640</v>
      </c>
    </row>
    <row r="765" spans="1:17" x14ac:dyDescent="0.3">
      <c r="A765" s="7">
        <v>45539</v>
      </c>
      <c r="B765" s="8" t="s">
        <v>39</v>
      </c>
      <c r="C765" s="9">
        <v>8.82</v>
      </c>
      <c r="D765" s="9">
        <v>10.56</v>
      </c>
      <c r="E765" s="21"/>
      <c r="F765" s="21"/>
      <c r="G765" s="20" t="s">
        <v>17</v>
      </c>
      <c r="H765" s="12">
        <v>33000</v>
      </c>
      <c r="I765" s="13"/>
      <c r="J765" s="11"/>
      <c r="K765" s="14">
        <f>O765-P765</f>
        <v>1440</v>
      </c>
      <c r="L765" s="15">
        <v>9.75</v>
      </c>
      <c r="M765" s="15">
        <v>11.9</v>
      </c>
      <c r="N765" s="16">
        <f t="shared" si="80"/>
        <v>321750</v>
      </c>
      <c r="O765" s="39">
        <f t="shared" ref="O765:O817" si="84">N765/1.1</f>
        <v>292500</v>
      </c>
      <c r="P765" s="14">
        <f t="shared" si="81"/>
        <v>291060</v>
      </c>
    </row>
    <row r="766" spans="1:17" x14ac:dyDescent="0.3">
      <c r="A766" s="7">
        <v>45540</v>
      </c>
      <c r="B766" s="8" t="s">
        <v>39</v>
      </c>
      <c r="C766" s="9">
        <v>8.82</v>
      </c>
      <c r="D766" s="9">
        <v>10.56</v>
      </c>
      <c r="E766" s="10">
        <v>90000</v>
      </c>
      <c r="F766" s="10">
        <v>8000</v>
      </c>
      <c r="G766" s="11" t="s">
        <v>30</v>
      </c>
      <c r="H766" s="12">
        <v>32000</v>
      </c>
      <c r="I766" s="13"/>
      <c r="J766" s="11"/>
      <c r="K766" s="14">
        <f t="shared" ref="K766:K817" si="85">O766-P766</f>
        <v>21760</v>
      </c>
      <c r="L766" s="15">
        <v>10.45</v>
      </c>
      <c r="M766" s="15"/>
      <c r="N766" s="16">
        <f t="shared" si="80"/>
        <v>334400</v>
      </c>
      <c r="O766" s="39">
        <f t="shared" si="84"/>
        <v>304000</v>
      </c>
      <c r="P766" s="14">
        <f t="shared" si="81"/>
        <v>282240</v>
      </c>
    </row>
    <row r="767" spans="1:17" x14ac:dyDescent="0.3">
      <c r="A767" s="7">
        <v>45540</v>
      </c>
      <c r="B767" s="8" t="s">
        <v>39</v>
      </c>
      <c r="C767" s="9">
        <v>8.82</v>
      </c>
      <c r="D767" s="9">
        <v>10.56</v>
      </c>
      <c r="E767" s="19"/>
      <c r="F767" s="19"/>
      <c r="G767" s="20" t="s">
        <v>17</v>
      </c>
      <c r="H767" s="12">
        <v>33000</v>
      </c>
      <c r="I767" s="12"/>
      <c r="J767" s="11"/>
      <c r="K767" s="14">
        <f t="shared" si="85"/>
        <v>1440</v>
      </c>
      <c r="L767" s="15">
        <v>9.75</v>
      </c>
      <c r="M767" s="15">
        <v>11.9</v>
      </c>
      <c r="N767" s="16">
        <f t="shared" si="80"/>
        <v>321750</v>
      </c>
      <c r="O767" s="39">
        <f t="shared" si="84"/>
        <v>292500</v>
      </c>
      <c r="P767" s="14">
        <f t="shared" si="81"/>
        <v>291060</v>
      </c>
    </row>
    <row r="768" spans="1:17" x14ac:dyDescent="0.3">
      <c r="A768" s="7">
        <v>45540</v>
      </c>
      <c r="B768" s="8" t="s">
        <v>39</v>
      </c>
      <c r="C768" s="9">
        <v>8.82</v>
      </c>
      <c r="D768" s="9">
        <v>10.56</v>
      </c>
      <c r="E768" s="21"/>
      <c r="F768" s="21"/>
      <c r="G768" s="20" t="s">
        <v>17</v>
      </c>
      <c r="H768" s="12">
        <v>25000</v>
      </c>
      <c r="I768" s="12">
        <v>8000</v>
      </c>
      <c r="J768" s="11"/>
      <c r="K768" s="14">
        <f t="shared" si="85"/>
        <v>3156.3636363635887</v>
      </c>
      <c r="L768" s="15">
        <v>9.75</v>
      </c>
      <c r="M768" s="15">
        <v>11.9</v>
      </c>
      <c r="N768" s="16">
        <f t="shared" si="80"/>
        <v>338950</v>
      </c>
      <c r="O768" s="39">
        <f>N768/1.1</f>
        <v>308136.36363636359</v>
      </c>
      <c r="P768" s="14">
        <f t="shared" si="81"/>
        <v>304980</v>
      </c>
    </row>
    <row r="769" spans="1:16" x14ac:dyDescent="0.3">
      <c r="A769" s="7">
        <v>45540</v>
      </c>
      <c r="B769" s="8" t="s">
        <v>19</v>
      </c>
      <c r="C769" s="9">
        <v>8.82</v>
      </c>
      <c r="D769" s="9">
        <v>10.56</v>
      </c>
      <c r="E769" s="12"/>
      <c r="F769" s="12">
        <v>2000</v>
      </c>
      <c r="G769" s="20" t="s">
        <v>17</v>
      </c>
      <c r="H769" s="12"/>
      <c r="I769" s="12">
        <v>2000</v>
      </c>
      <c r="J769" s="11"/>
      <c r="K769" s="14">
        <f t="shared" si="85"/>
        <v>516.36363636363603</v>
      </c>
      <c r="L769" s="15">
        <v>9.75</v>
      </c>
      <c r="M769" s="15">
        <v>11.9</v>
      </c>
      <c r="N769" s="16">
        <f t="shared" si="80"/>
        <v>23800</v>
      </c>
      <c r="O769" s="39">
        <f t="shared" si="84"/>
        <v>21636.363636363636</v>
      </c>
      <c r="P769" s="14">
        <f t="shared" si="81"/>
        <v>21120</v>
      </c>
    </row>
    <row r="770" spans="1:16" x14ac:dyDescent="0.3">
      <c r="A770" s="7">
        <v>45541</v>
      </c>
      <c r="B770" s="8" t="s">
        <v>39</v>
      </c>
      <c r="C770" s="9">
        <v>8.82</v>
      </c>
      <c r="D770" s="9">
        <v>10.56</v>
      </c>
      <c r="E770" s="10">
        <v>56000</v>
      </c>
      <c r="F770" s="10">
        <v>10000</v>
      </c>
      <c r="G770" s="20" t="s">
        <v>26</v>
      </c>
      <c r="H770" s="12">
        <v>23000</v>
      </c>
      <c r="I770" s="12">
        <v>10000</v>
      </c>
      <c r="J770" s="11"/>
      <c r="K770" s="14">
        <f t="shared" si="85"/>
        <v>56667.272727272706</v>
      </c>
      <c r="L770" s="15">
        <v>11.58</v>
      </c>
      <c r="M770" s="15">
        <v>13.53</v>
      </c>
      <c r="N770" s="16">
        <f t="shared" si="80"/>
        <v>401640</v>
      </c>
      <c r="O770" s="39">
        <f t="shared" si="84"/>
        <v>365127.27272727271</v>
      </c>
      <c r="P770" s="14">
        <f t="shared" si="81"/>
        <v>308460</v>
      </c>
    </row>
    <row r="771" spans="1:16" x14ac:dyDescent="0.3">
      <c r="A771" s="7">
        <v>45541</v>
      </c>
      <c r="B771" s="8" t="s">
        <v>39</v>
      </c>
      <c r="C771" s="9">
        <v>8.82</v>
      </c>
      <c r="D771" s="9">
        <v>10.56</v>
      </c>
      <c r="E771" s="21"/>
      <c r="F771" s="21"/>
      <c r="G771" s="20" t="s">
        <v>17</v>
      </c>
      <c r="H771" s="12">
        <v>33000</v>
      </c>
      <c r="I771" s="12"/>
      <c r="J771" s="11"/>
      <c r="K771" s="14">
        <f t="shared" si="85"/>
        <v>1440</v>
      </c>
      <c r="L771" s="15">
        <v>9.75</v>
      </c>
      <c r="M771" s="15">
        <v>11.9</v>
      </c>
      <c r="N771" s="16">
        <f t="shared" si="80"/>
        <v>321750</v>
      </c>
      <c r="O771" s="39">
        <f t="shared" si="84"/>
        <v>292500</v>
      </c>
      <c r="P771" s="14">
        <f t="shared" si="81"/>
        <v>291060</v>
      </c>
    </row>
    <row r="772" spans="1:16" x14ac:dyDescent="0.3">
      <c r="A772" s="7">
        <v>45542</v>
      </c>
      <c r="B772" s="8" t="s">
        <v>39</v>
      </c>
      <c r="C772" s="9">
        <v>8.82</v>
      </c>
      <c r="D772" s="9">
        <v>10.56</v>
      </c>
      <c r="E772" s="10">
        <v>59000</v>
      </c>
      <c r="F772" s="10">
        <v>6000</v>
      </c>
      <c r="G772" s="20" t="s">
        <v>27</v>
      </c>
      <c r="H772" s="12">
        <v>31000</v>
      </c>
      <c r="I772" s="13">
        <v>2000</v>
      </c>
      <c r="J772" s="11"/>
      <c r="K772" s="14">
        <f t="shared" si="85"/>
        <v>37996.363636363589</v>
      </c>
      <c r="L772" s="15">
        <v>10.95</v>
      </c>
      <c r="M772" s="15">
        <v>13.17</v>
      </c>
      <c r="N772" s="16">
        <f t="shared" si="80"/>
        <v>365790</v>
      </c>
      <c r="O772" s="39">
        <f t="shared" si="84"/>
        <v>332536.36363636359</v>
      </c>
      <c r="P772" s="14">
        <f t="shared" si="81"/>
        <v>294540</v>
      </c>
    </row>
    <row r="773" spans="1:16" x14ac:dyDescent="0.3">
      <c r="A773" s="7">
        <v>45542</v>
      </c>
      <c r="B773" s="8" t="s">
        <v>39</v>
      </c>
      <c r="C773" s="9">
        <v>8.82</v>
      </c>
      <c r="D773" s="9">
        <v>10.56</v>
      </c>
      <c r="E773" s="21"/>
      <c r="F773" s="21"/>
      <c r="G773" s="20" t="s">
        <v>21</v>
      </c>
      <c r="H773" s="12">
        <v>28000</v>
      </c>
      <c r="I773" s="12">
        <v>4000</v>
      </c>
      <c r="J773" s="11"/>
      <c r="K773" s="14">
        <f t="shared" si="85"/>
        <v>48545.45454545453</v>
      </c>
      <c r="L773" s="15">
        <v>11.35</v>
      </c>
      <c r="M773" s="15">
        <v>13.43</v>
      </c>
      <c r="N773" s="16">
        <f t="shared" si="80"/>
        <v>371520</v>
      </c>
      <c r="O773" s="39">
        <f t="shared" si="84"/>
        <v>337745.45454545453</v>
      </c>
      <c r="P773" s="14">
        <f t="shared" si="81"/>
        <v>289200</v>
      </c>
    </row>
    <row r="774" spans="1:16" x14ac:dyDescent="0.3">
      <c r="A774" s="7">
        <v>45544</v>
      </c>
      <c r="B774" s="8" t="s">
        <v>39</v>
      </c>
      <c r="C774" s="9">
        <v>8.82</v>
      </c>
      <c r="D774" s="9">
        <v>10.56</v>
      </c>
      <c r="E774" s="10">
        <v>48000</v>
      </c>
      <c r="F774" s="10">
        <v>18000</v>
      </c>
      <c r="G774" s="20" t="s">
        <v>17</v>
      </c>
      <c r="H774" s="12">
        <v>15000</v>
      </c>
      <c r="I774" s="13">
        <v>18000</v>
      </c>
      <c r="J774" s="11"/>
      <c r="K774" s="14">
        <f t="shared" si="85"/>
        <v>5301.8181818181765</v>
      </c>
      <c r="L774" s="15">
        <v>9.75</v>
      </c>
      <c r="M774" s="15">
        <v>11.9</v>
      </c>
      <c r="N774" s="16">
        <f t="shared" si="80"/>
        <v>360450</v>
      </c>
      <c r="O774" s="39">
        <f t="shared" si="84"/>
        <v>327681.81818181818</v>
      </c>
      <c r="P774" s="14">
        <f t="shared" si="81"/>
        <v>322380</v>
      </c>
    </row>
    <row r="775" spans="1:16" x14ac:dyDescent="0.3">
      <c r="A775" s="7">
        <v>45544</v>
      </c>
      <c r="B775" s="8" t="s">
        <v>39</v>
      </c>
      <c r="C775" s="9">
        <v>8.82</v>
      </c>
      <c r="D775" s="9">
        <v>10.56</v>
      </c>
      <c r="E775" s="19"/>
      <c r="F775" s="19"/>
      <c r="G775" s="20" t="s">
        <v>24</v>
      </c>
      <c r="H775" s="12">
        <v>16000</v>
      </c>
      <c r="I775" s="13"/>
      <c r="J775" s="11"/>
      <c r="K775" s="14">
        <f t="shared" si="85"/>
        <v>21352.727272727265</v>
      </c>
      <c r="L775" s="15">
        <v>11.17</v>
      </c>
      <c r="M775" s="15">
        <v>0</v>
      </c>
      <c r="N775" s="16">
        <f t="shared" si="80"/>
        <v>178720</v>
      </c>
      <c r="O775" s="39">
        <f t="shared" si="84"/>
        <v>162472.72727272726</v>
      </c>
      <c r="P775" s="14">
        <f t="shared" si="81"/>
        <v>141120</v>
      </c>
    </row>
    <row r="776" spans="1:16" hidden="1" x14ac:dyDescent="0.3">
      <c r="A776" s="7">
        <v>45544</v>
      </c>
      <c r="B776" s="8" t="s">
        <v>39</v>
      </c>
      <c r="C776" s="9">
        <v>8.82</v>
      </c>
      <c r="D776" s="9">
        <v>10.56</v>
      </c>
      <c r="E776" s="21"/>
      <c r="F776" s="21"/>
      <c r="G776" s="20" t="s">
        <v>22</v>
      </c>
      <c r="H776" s="12">
        <v>17000</v>
      </c>
      <c r="I776" s="13"/>
      <c r="J776" s="11"/>
      <c r="K776" s="14">
        <f t="shared" si="85"/>
        <v>-149940</v>
      </c>
      <c r="L776" s="15"/>
      <c r="M776" s="15"/>
      <c r="N776" s="16">
        <f t="shared" si="80"/>
        <v>0</v>
      </c>
      <c r="O776" s="39">
        <f t="shared" si="84"/>
        <v>0</v>
      </c>
      <c r="P776" s="14">
        <f t="shared" si="81"/>
        <v>149940</v>
      </c>
    </row>
    <row r="777" spans="1:16" x14ac:dyDescent="0.3">
      <c r="A777" s="7">
        <v>45545</v>
      </c>
      <c r="B777" s="8" t="s">
        <v>39</v>
      </c>
      <c r="C777" s="9">
        <v>8.82</v>
      </c>
      <c r="D777" s="9">
        <v>10.56</v>
      </c>
      <c r="E777" s="12">
        <v>32000</v>
      </c>
      <c r="F777" s="12"/>
      <c r="G777" s="20" t="s">
        <v>31</v>
      </c>
      <c r="H777" s="12">
        <v>32000</v>
      </c>
      <c r="I777" s="13"/>
      <c r="J777" s="11"/>
      <c r="K777" s="14">
        <f t="shared" si="85"/>
        <v>40087.272727272706</v>
      </c>
      <c r="L777" s="15">
        <v>11.08</v>
      </c>
      <c r="M777" s="15"/>
      <c r="N777" s="16">
        <f t="shared" si="80"/>
        <v>354560</v>
      </c>
      <c r="O777" s="39">
        <f t="shared" si="84"/>
        <v>322327.27272727271</v>
      </c>
      <c r="P777" s="14">
        <f t="shared" si="81"/>
        <v>282240</v>
      </c>
    </row>
    <row r="778" spans="1:16" x14ac:dyDescent="0.3">
      <c r="A778" s="7">
        <v>45546</v>
      </c>
      <c r="B778" s="8" t="s">
        <v>39</v>
      </c>
      <c r="C778" s="9">
        <v>8.75</v>
      </c>
      <c r="D778" s="9">
        <v>10.56</v>
      </c>
      <c r="E778" s="10">
        <v>44000</v>
      </c>
      <c r="F778" s="10">
        <v>38000</v>
      </c>
      <c r="G778" s="20" t="s">
        <v>35</v>
      </c>
      <c r="H778" s="12">
        <v>28000</v>
      </c>
      <c r="I778" s="13"/>
      <c r="J778" s="11"/>
      <c r="K778" s="14">
        <f t="shared" si="85"/>
        <v>42636.363636363589</v>
      </c>
      <c r="L778" s="15">
        <v>11.3</v>
      </c>
      <c r="M778" s="15"/>
      <c r="N778" s="16">
        <f t="shared" si="80"/>
        <v>316400</v>
      </c>
      <c r="O778" s="39">
        <f t="shared" si="84"/>
        <v>287636.36363636359</v>
      </c>
      <c r="P778" s="14">
        <f t="shared" si="81"/>
        <v>245000</v>
      </c>
    </row>
    <row r="779" spans="1:16" hidden="1" x14ac:dyDescent="0.3">
      <c r="A779" s="7" t="s">
        <v>50</v>
      </c>
      <c r="B779" s="8" t="s">
        <v>39</v>
      </c>
      <c r="C779" s="9">
        <v>8.75</v>
      </c>
      <c r="D779" s="9">
        <v>10.56</v>
      </c>
      <c r="E779" s="19"/>
      <c r="F779" s="19"/>
      <c r="G779" s="20" t="s">
        <v>22</v>
      </c>
      <c r="H779" s="12"/>
      <c r="I779" s="13">
        <v>4000</v>
      </c>
      <c r="J779" s="11"/>
      <c r="K779" s="14">
        <f t="shared" si="85"/>
        <v>-42240</v>
      </c>
      <c r="L779" s="15"/>
      <c r="M779" s="15"/>
      <c r="N779" s="16">
        <f t="shared" si="80"/>
        <v>0</v>
      </c>
      <c r="O779" s="39">
        <f t="shared" si="84"/>
        <v>0</v>
      </c>
      <c r="P779" s="14">
        <f t="shared" si="81"/>
        <v>42240</v>
      </c>
    </row>
    <row r="780" spans="1:16" x14ac:dyDescent="0.3">
      <c r="A780" s="7" t="s">
        <v>50</v>
      </c>
      <c r="B780" s="8" t="s">
        <v>39</v>
      </c>
      <c r="C780" s="9">
        <v>8.75</v>
      </c>
      <c r="D780" s="9">
        <v>10.56</v>
      </c>
      <c r="E780" s="19"/>
      <c r="F780" s="19"/>
      <c r="G780" s="20" t="s">
        <v>17</v>
      </c>
      <c r="H780" s="12"/>
      <c r="I780" s="13">
        <v>17000</v>
      </c>
      <c r="J780" s="11"/>
      <c r="K780" s="14">
        <f t="shared" si="85"/>
        <v>4389.0909090908826</v>
      </c>
      <c r="L780" s="15">
        <v>9.67</v>
      </c>
      <c r="M780" s="15">
        <v>11.9</v>
      </c>
      <c r="N780" s="16">
        <f t="shared" si="80"/>
        <v>202300</v>
      </c>
      <c r="O780" s="39">
        <f t="shared" si="84"/>
        <v>183909.09090909088</v>
      </c>
      <c r="P780" s="14">
        <f t="shared" si="81"/>
        <v>179520</v>
      </c>
    </row>
    <row r="781" spans="1:16" x14ac:dyDescent="0.3">
      <c r="A781" s="7" t="s">
        <v>50</v>
      </c>
      <c r="B781" s="8" t="s">
        <v>39</v>
      </c>
      <c r="C781" s="9">
        <v>8.75</v>
      </c>
      <c r="D781" s="9">
        <v>10.56</v>
      </c>
      <c r="E781" s="21"/>
      <c r="F781" s="21"/>
      <c r="G781" s="11" t="s">
        <v>17</v>
      </c>
      <c r="H781" s="12">
        <v>16000</v>
      </c>
      <c r="I781" s="13">
        <v>17000</v>
      </c>
      <c r="J781" s="11"/>
      <c r="K781" s="14">
        <f>O781-P781</f>
        <v>5043.6363636363531</v>
      </c>
      <c r="L781" s="15">
        <v>9.67</v>
      </c>
      <c r="M781" s="15">
        <v>11.9</v>
      </c>
      <c r="N781" s="16">
        <f t="shared" si="80"/>
        <v>357020</v>
      </c>
      <c r="O781" s="39">
        <f t="shared" si="84"/>
        <v>324563.63636363635</v>
      </c>
      <c r="P781" s="14">
        <f t="shared" si="81"/>
        <v>319520</v>
      </c>
    </row>
    <row r="782" spans="1:16" x14ac:dyDescent="0.3">
      <c r="A782" s="7">
        <v>45547</v>
      </c>
      <c r="B782" s="8" t="s">
        <v>39</v>
      </c>
      <c r="C782" s="9">
        <v>8.75</v>
      </c>
      <c r="D782" s="9">
        <v>10.56</v>
      </c>
      <c r="E782" s="12">
        <v>8000</v>
      </c>
      <c r="F782" s="12">
        <v>8000</v>
      </c>
      <c r="G782" s="11" t="s">
        <v>32</v>
      </c>
      <c r="H782" s="12">
        <v>8000</v>
      </c>
      <c r="I782" s="13">
        <v>8000</v>
      </c>
      <c r="J782" s="11"/>
      <c r="K782" s="14">
        <f t="shared" si="85"/>
        <v>4647.2727272727061</v>
      </c>
      <c r="L782" s="15">
        <v>9.68</v>
      </c>
      <c r="M782" s="15">
        <v>12.2</v>
      </c>
      <c r="N782" s="16">
        <f t="shared" si="80"/>
        <v>175040</v>
      </c>
      <c r="O782" s="39">
        <f t="shared" si="84"/>
        <v>159127.27272727271</v>
      </c>
      <c r="P782" s="14">
        <f t="shared" si="81"/>
        <v>154480</v>
      </c>
    </row>
    <row r="783" spans="1:16" x14ac:dyDescent="0.3">
      <c r="A783" s="7">
        <v>45547</v>
      </c>
      <c r="B783" s="8" t="s">
        <v>19</v>
      </c>
      <c r="C783" s="9">
        <v>8.75</v>
      </c>
      <c r="D783" s="9">
        <v>10.56</v>
      </c>
      <c r="E783" s="12"/>
      <c r="F783" s="12">
        <v>4000</v>
      </c>
      <c r="G783" s="20" t="s">
        <v>17</v>
      </c>
      <c r="H783" s="12"/>
      <c r="I783" s="13">
        <v>4000</v>
      </c>
      <c r="J783" s="11"/>
      <c r="K783" s="14">
        <f t="shared" si="85"/>
        <v>1032.7272727272721</v>
      </c>
      <c r="L783" s="15">
        <v>9.67</v>
      </c>
      <c r="M783" s="15">
        <v>11.9</v>
      </c>
      <c r="N783" s="16">
        <f t="shared" si="80"/>
        <v>47600</v>
      </c>
      <c r="O783" s="39">
        <f t="shared" si="84"/>
        <v>43272.727272727272</v>
      </c>
      <c r="P783" s="14">
        <f t="shared" si="81"/>
        <v>42240</v>
      </c>
    </row>
    <row r="784" spans="1:16" x14ac:dyDescent="0.3">
      <c r="A784" s="7">
        <v>45548</v>
      </c>
      <c r="B784" s="8" t="s">
        <v>39</v>
      </c>
      <c r="C784" s="9">
        <v>8.75</v>
      </c>
      <c r="D784" s="9">
        <v>10.56</v>
      </c>
      <c r="E784" s="10">
        <v>43000</v>
      </c>
      <c r="F784" s="10">
        <v>22000</v>
      </c>
      <c r="G784" s="20" t="s">
        <v>27</v>
      </c>
      <c r="H784" s="12">
        <v>28000</v>
      </c>
      <c r="I784" s="13">
        <v>4000</v>
      </c>
      <c r="J784" s="11"/>
      <c r="K784" s="14">
        <f t="shared" si="85"/>
        <v>39378.181818181765</v>
      </c>
      <c r="L784" s="15">
        <v>10.95</v>
      </c>
      <c r="M784" s="15">
        <v>13.17</v>
      </c>
      <c r="N784" s="16">
        <f t="shared" si="80"/>
        <v>359280</v>
      </c>
      <c r="O784" s="39">
        <f t="shared" si="84"/>
        <v>326618.18181818177</v>
      </c>
      <c r="P784" s="14">
        <f t="shared" si="81"/>
        <v>287240</v>
      </c>
    </row>
    <row r="785" spans="1:16" x14ac:dyDescent="0.3">
      <c r="A785" s="7">
        <v>45548</v>
      </c>
      <c r="B785" s="8" t="s">
        <v>39</v>
      </c>
      <c r="C785" s="9">
        <v>8.75</v>
      </c>
      <c r="D785" s="9">
        <v>10.56</v>
      </c>
      <c r="E785" s="21"/>
      <c r="F785" s="21"/>
      <c r="G785" s="20" t="s">
        <v>17</v>
      </c>
      <c r="H785" s="12">
        <v>15000</v>
      </c>
      <c r="I785" s="13">
        <v>18000</v>
      </c>
      <c r="J785" s="11"/>
      <c r="K785" s="14">
        <f t="shared" si="85"/>
        <v>5260.9090909090592</v>
      </c>
      <c r="L785" s="15">
        <v>9.67</v>
      </c>
      <c r="M785" s="15">
        <v>11.9</v>
      </c>
      <c r="N785" s="16">
        <f t="shared" si="80"/>
        <v>359250</v>
      </c>
      <c r="O785" s="39">
        <f t="shared" si="84"/>
        <v>326590.90909090906</v>
      </c>
      <c r="P785" s="14">
        <f t="shared" si="81"/>
        <v>321330</v>
      </c>
    </row>
    <row r="786" spans="1:16" x14ac:dyDescent="0.3">
      <c r="A786" s="7">
        <v>45549</v>
      </c>
      <c r="B786" s="8" t="s">
        <v>39</v>
      </c>
      <c r="C786" s="9">
        <v>8.75</v>
      </c>
      <c r="D786" s="9">
        <v>10.56</v>
      </c>
      <c r="E786" s="10">
        <v>72000</v>
      </c>
      <c r="F786" s="10">
        <v>10000</v>
      </c>
      <c r="G786" s="20" t="s">
        <v>25</v>
      </c>
      <c r="H786" s="12">
        <v>13000</v>
      </c>
      <c r="I786" s="12">
        <v>4000</v>
      </c>
      <c r="J786" s="11"/>
      <c r="K786" s="14">
        <f t="shared" si="85"/>
        <v>29191.818181818177</v>
      </c>
      <c r="L786" s="15">
        <v>11.5</v>
      </c>
      <c r="M786" s="15">
        <v>13.55</v>
      </c>
      <c r="N786" s="16">
        <f t="shared" si="80"/>
        <v>203700</v>
      </c>
      <c r="O786" s="39">
        <f t="shared" si="84"/>
        <v>185181.81818181818</v>
      </c>
      <c r="P786" s="14">
        <f t="shared" si="81"/>
        <v>155990</v>
      </c>
    </row>
    <row r="787" spans="1:16" x14ac:dyDescent="0.3">
      <c r="A787" s="7">
        <v>45549</v>
      </c>
      <c r="B787" s="8" t="s">
        <v>39</v>
      </c>
      <c r="C787" s="9">
        <v>8.75</v>
      </c>
      <c r="D787" s="9">
        <v>10.56</v>
      </c>
      <c r="E787" s="19"/>
      <c r="F787" s="19"/>
      <c r="G787" s="20" t="s">
        <v>17</v>
      </c>
      <c r="H787" s="12">
        <v>30000</v>
      </c>
      <c r="I787" s="12">
        <v>3000</v>
      </c>
      <c r="J787" s="11"/>
      <c r="K787" s="14">
        <f t="shared" si="85"/>
        <v>2001.8181818181765</v>
      </c>
      <c r="L787" s="15">
        <v>9.67</v>
      </c>
      <c r="M787" s="15">
        <v>11.9</v>
      </c>
      <c r="N787" s="16">
        <f t="shared" si="80"/>
        <v>325800</v>
      </c>
      <c r="O787" s="39">
        <f t="shared" si="84"/>
        <v>296181.81818181818</v>
      </c>
      <c r="P787" s="14">
        <f t="shared" si="81"/>
        <v>294180</v>
      </c>
    </row>
    <row r="788" spans="1:16" x14ac:dyDescent="0.3">
      <c r="A788" s="7">
        <v>45549</v>
      </c>
      <c r="B788" s="8" t="s">
        <v>39</v>
      </c>
      <c r="C788" s="9">
        <v>8.75</v>
      </c>
      <c r="D788" s="9">
        <v>10.56</v>
      </c>
      <c r="E788" s="21"/>
      <c r="F788" s="21"/>
      <c r="G788" s="20" t="s">
        <v>32</v>
      </c>
      <c r="H788" s="12">
        <v>29000</v>
      </c>
      <c r="I788" s="13">
        <v>3000</v>
      </c>
      <c r="J788" s="31">
        <v>295745.45</v>
      </c>
      <c r="K788" s="14">
        <f t="shared" si="85"/>
        <v>3042.7272727272357</v>
      </c>
      <c r="L788" s="15">
        <v>9.68</v>
      </c>
      <c r="M788" s="15">
        <v>12.2</v>
      </c>
      <c r="N788" s="16">
        <f>(H788*L788)+(I788*M788)</f>
        <v>317320</v>
      </c>
      <c r="O788" s="39">
        <f t="shared" si="84"/>
        <v>288472.72727272724</v>
      </c>
      <c r="P788" s="14">
        <f t="shared" si="81"/>
        <v>285430</v>
      </c>
    </row>
    <row r="789" spans="1:16" x14ac:dyDescent="0.3">
      <c r="A789" s="7">
        <v>45553</v>
      </c>
      <c r="B789" s="8" t="s">
        <v>41</v>
      </c>
      <c r="C789" s="9">
        <f>9.32/1.1</f>
        <v>8.4727272727272727</v>
      </c>
      <c r="D789" s="9">
        <f>12/1.1</f>
        <v>10.909090909090908</v>
      </c>
      <c r="E789" s="10">
        <v>60000</v>
      </c>
      <c r="F789" s="10">
        <v>5000</v>
      </c>
      <c r="G789" s="20" t="s">
        <v>21</v>
      </c>
      <c r="H789" s="12">
        <v>27000</v>
      </c>
      <c r="I789" s="13">
        <v>5000</v>
      </c>
      <c r="J789" s="31">
        <v>92727.27</v>
      </c>
      <c r="K789" s="14">
        <f t="shared" si="85"/>
        <v>50545.45454545453</v>
      </c>
      <c r="L789" s="15">
        <v>11.17</v>
      </c>
      <c r="M789" s="15">
        <v>13.13</v>
      </c>
      <c r="N789" s="16">
        <f>(H789*L789)+(I789*M789)</f>
        <v>367240</v>
      </c>
      <c r="O789" s="39">
        <f t="shared" si="84"/>
        <v>333854.54545454541</v>
      </c>
      <c r="P789" s="14">
        <f t="shared" si="81"/>
        <v>283309.09090909088</v>
      </c>
    </row>
    <row r="790" spans="1:16" x14ac:dyDescent="0.3">
      <c r="A790" s="7">
        <v>45553</v>
      </c>
      <c r="B790" s="8" t="s">
        <v>41</v>
      </c>
      <c r="C790" s="9">
        <f>9.32/1.1</f>
        <v>8.4727272727272727</v>
      </c>
      <c r="D790" s="9">
        <f>12/1.1</f>
        <v>10.909090909090908</v>
      </c>
      <c r="E790" s="21"/>
      <c r="F790" s="21"/>
      <c r="G790" s="20" t="s">
        <v>17</v>
      </c>
      <c r="H790" s="12">
        <v>33000</v>
      </c>
      <c r="I790" s="13"/>
      <c r="J790" s="31">
        <v>-38472.730000000003</v>
      </c>
      <c r="K790" s="14">
        <f t="shared" si="85"/>
        <v>900</v>
      </c>
      <c r="L790" s="15">
        <v>9.35</v>
      </c>
      <c r="M790" s="15"/>
      <c r="N790" s="16">
        <f t="shared" si="80"/>
        <v>308550</v>
      </c>
      <c r="O790" s="39">
        <f t="shared" si="84"/>
        <v>280500</v>
      </c>
      <c r="P790" s="14">
        <f t="shared" si="81"/>
        <v>279600</v>
      </c>
    </row>
    <row r="791" spans="1:16" x14ac:dyDescent="0.3">
      <c r="A791" s="7">
        <v>45554</v>
      </c>
      <c r="B791" s="8" t="s">
        <v>39</v>
      </c>
      <c r="C791" s="9">
        <v>8.5</v>
      </c>
      <c r="D791" s="9">
        <v>10.5</v>
      </c>
      <c r="E791" s="12">
        <v>15000</v>
      </c>
      <c r="F791" s="12">
        <v>18000</v>
      </c>
      <c r="G791" s="20" t="s">
        <v>33</v>
      </c>
      <c r="H791" s="12">
        <v>15000</v>
      </c>
      <c r="I791" s="13">
        <v>18000</v>
      </c>
      <c r="J791" s="31">
        <v>32427.27</v>
      </c>
      <c r="K791" s="14">
        <f t="shared" si="85"/>
        <v>2863.6363636363531</v>
      </c>
      <c r="L791" s="15">
        <v>9.3800000000000008</v>
      </c>
      <c r="M791" s="15">
        <v>11.7</v>
      </c>
      <c r="N791" s="16">
        <f t="shared" si="80"/>
        <v>351300</v>
      </c>
      <c r="O791" s="39">
        <f t="shared" si="84"/>
        <v>319363.63636363635</v>
      </c>
      <c r="P791" s="14">
        <f t="shared" si="81"/>
        <v>316500</v>
      </c>
    </row>
    <row r="792" spans="1:16" x14ac:dyDescent="0.3">
      <c r="A792" s="7">
        <v>45555</v>
      </c>
      <c r="B792" s="8" t="s">
        <v>41</v>
      </c>
      <c r="C792" s="9">
        <f>9.26/1.1</f>
        <v>8.418181818181818</v>
      </c>
      <c r="D792" s="9">
        <f>12/1.1</f>
        <v>10.909090909090908</v>
      </c>
      <c r="E792" s="10">
        <v>66000</v>
      </c>
      <c r="F792" s="12"/>
      <c r="G792" s="20" t="s">
        <v>17</v>
      </c>
      <c r="H792" s="12">
        <v>33000</v>
      </c>
      <c r="I792" s="13"/>
      <c r="J792" s="31">
        <v>4502.55</v>
      </c>
      <c r="K792" s="14">
        <f t="shared" si="85"/>
        <v>2700</v>
      </c>
      <c r="L792" s="15">
        <v>9.35</v>
      </c>
      <c r="M792" s="15"/>
      <c r="N792" s="16">
        <f t="shared" si="80"/>
        <v>308550</v>
      </c>
      <c r="O792" s="39">
        <f t="shared" si="84"/>
        <v>280500</v>
      </c>
      <c r="P792" s="14">
        <f t="shared" si="81"/>
        <v>277800</v>
      </c>
    </row>
    <row r="793" spans="1:16" x14ac:dyDescent="0.3">
      <c r="A793" s="7">
        <v>45554</v>
      </c>
      <c r="B793" s="8" t="s">
        <v>41</v>
      </c>
      <c r="C793" s="9">
        <f>9.32/1.1</f>
        <v>8.4727272727272727</v>
      </c>
      <c r="D793" s="9">
        <f>12/1.1</f>
        <v>10.909090909090908</v>
      </c>
      <c r="E793" s="21"/>
      <c r="F793" s="12"/>
      <c r="G793" s="20" t="s">
        <v>32</v>
      </c>
      <c r="H793" s="12">
        <v>33000</v>
      </c>
      <c r="I793" s="13"/>
      <c r="J793" s="11"/>
      <c r="K793" s="14">
        <f t="shared" si="85"/>
        <v>1500</v>
      </c>
      <c r="L793" s="15">
        <v>9.3699999999999992</v>
      </c>
      <c r="M793" s="15">
        <v>12.1</v>
      </c>
      <c r="N793" s="16">
        <f t="shared" si="80"/>
        <v>309210</v>
      </c>
      <c r="O793" s="39">
        <f t="shared" si="84"/>
        <v>281100</v>
      </c>
      <c r="P793" s="14">
        <f t="shared" si="81"/>
        <v>279600</v>
      </c>
    </row>
    <row r="794" spans="1:16" x14ac:dyDescent="0.3">
      <c r="A794" s="7">
        <v>45554</v>
      </c>
      <c r="B794" s="8" t="s">
        <v>19</v>
      </c>
      <c r="C794" s="9"/>
      <c r="D794" s="9">
        <v>10.56</v>
      </c>
      <c r="E794" s="33">
        <v>0</v>
      </c>
      <c r="F794" s="12">
        <v>2000</v>
      </c>
      <c r="G794" s="20" t="s">
        <v>33</v>
      </c>
      <c r="H794" s="12"/>
      <c r="I794" s="13">
        <v>2000</v>
      </c>
      <c r="J794" s="11"/>
      <c r="K794" s="14">
        <f t="shared" si="85"/>
        <v>152.72727272727207</v>
      </c>
      <c r="L794" s="15">
        <v>0</v>
      </c>
      <c r="M794" s="15">
        <v>11.7</v>
      </c>
      <c r="N794" s="16">
        <f t="shared" si="80"/>
        <v>23400</v>
      </c>
      <c r="O794" s="39">
        <f t="shared" si="84"/>
        <v>21272.727272727272</v>
      </c>
      <c r="P794" s="14">
        <f t="shared" si="81"/>
        <v>21120</v>
      </c>
    </row>
    <row r="795" spans="1:16" x14ac:dyDescent="0.3">
      <c r="A795" s="7">
        <v>45555</v>
      </c>
      <c r="B795" s="8" t="s">
        <v>41</v>
      </c>
      <c r="C795" s="9">
        <f t="shared" ref="C795:C806" si="86">9.26/1.1</f>
        <v>8.418181818181818</v>
      </c>
      <c r="D795" s="9">
        <f t="shared" ref="D795:D806" si="87">12/1.1</f>
        <v>10.909090909090908</v>
      </c>
      <c r="E795" s="10">
        <v>20000</v>
      </c>
      <c r="F795" s="10">
        <v>12000</v>
      </c>
      <c r="G795" s="11" t="s">
        <v>28</v>
      </c>
      <c r="H795" s="12">
        <v>10000</v>
      </c>
      <c r="I795" s="13">
        <v>10000</v>
      </c>
      <c r="J795" s="11"/>
      <c r="K795" s="14">
        <f t="shared" si="85"/>
        <v>26909.090909090912</v>
      </c>
      <c r="L795" s="15">
        <v>11.18</v>
      </c>
      <c r="M795" s="15">
        <v>13.04</v>
      </c>
      <c r="N795" s="16">
        <f t="shared" si="80"/>
        <v>242200</v>
      </c>
      <c r="O795" s="39">
        <f t="shared" si="84"/>
        <v>220181.81818181818</v>
      </c>
      <c r="P795" s="14">
        <f t="shared" si="81"/>
        <v>193272.72727272726</v>
      </c>
    </row>
    <row r="796" spans="1:16" x14ac:dyDescent="0.3">
      <c r="A796" s="7">
        <v>45555</v>
      </c>
      <c r="B796" s="8" t="s">
        <v>41</v>
      </c>
      <c r="C796" s="9">
        <f t="shared" si="86"/>
        <v>8.418181818181818</v>
      </c>
      <c r="D796" s="9">
        <f t="shared" si="87"/>
        <v>10.909090909090908</v>
      </c>
      <c r="E796" s="21"/>
      <c r="F796" s="21"/>
      <c r="G796" s="11" t="s">
        <v>29</v>
      </c>
      <c r="H796" s="12">
        <v>10000</v>
      </c>
      <c r="I796" s="13">
        <v>2000</v>
      </c>
      <c r="J796" s="11"/>
      <c r="K796" s="14">
        <f t="shared" si="85"/>
        <v>19072.727272727265</v>
      </c>
      <c r="L796" s="15">
        <v>11.14</v>
      </c>
      <c r="M796" s="15">
        <v>13.09</v>
      </c>
      <c r="N796" s="16">
        <f t="shared" si="80"/>
        <v>137580</v>
      </c>
      <c r="O796" s="39">
        <f t="shared" si="84"/>
        <v>125072.72727272726</v>
      </c>
      <c r="P796" s="14">
        <f t="shared" si="81"/>
        <v>106000</v>
      </c>
    </row>
    <row r="797" spans="1:16" x14ac:dyDescent="0.3">
      <c r="A797" s="7">
        <v>45555</v>
      </c>
      <c r="B797" s="8" t="s">
        <v>39</v>
      </c>
      <c r="C797" s="9">
        <v>8.5</v>
      </c>
      <c r="D797" s="9">
        <v>10.5</v>
      </c>
      <c r="E797" s="12">
        <v>15000</v>
      </c>
      <c r="F797" s="12">
        <v>18000</v>
      </c>
      <c r="G797" s="20" t="s">
        <v>33</v>
      </c>
      <c r="H797" s="12">
        <v>15000</v>
      </c>
      <c r="I797" s="13">
        <v>18000</v>
      </c>
      <c r="J797" s="11"/>
      <c r="K797" s="14">
        <f t="shared" si="85"/>
        <v>2863.6363636363531</v>
      </c>
      <c r="L797" s="15">
        <v>9.3800000000000008</v>
      </c>
      <c r="M797" s="15">
        <v>11.7</v>
      </c>
      <c r="N797" s="16">
        <f t="shared" ref="N797:N860" si="88">(H797*L797)+(I797*M797)</f>
        <v>351300</v>
      </c>
      <c r="O797" s="39">
        <f t="shared" si="84"/>
        <v>319363.63636363635</v>
      </c>
      <c r="P797" s="14">
        <f t="shared" si="81"/>
        <v>316500</v>
      </c>
    </row>
    <row r="798" spans="1:16" x14ac:dyDescent="0.3">
      <c r="A798" s="7">
        <v>45555</v>
      </c>
      <c r="B798" s="8" t="s">
        <v>41</v>
      </c>
      <c r="C798" s="9">
        <f t="shared" si="86"/>
        <v>8.418181818181818</v>
      </c>
      <c r="D798" s="9">
        <f t="shared" si="87"/>
        <v>10.909090909090908</v>
      </c>
      <c r="E798" s="10">
        <v>37000</v>
      </c>
      <c r="F798" s="10">
        <v>13000</v>
      </c>
      <c r="G798" s="11" t="s">
        <v>26</v>
      </c>
      <c r="H798" s="12">
        <v>23000</v>
      </c>
      <c r="I798" s="13">
        <v>10000</v>
      </c>
      <c r="J798" s="11"/>
      <c r="K798" s="14">
        <f t="shared" si="85"/>
        <v>55927.272727272648</v>
      </c>
      <c r="L798" s="15">
        <v>11.4</v>
      </c>
      <c r="M798" s="15">
        <v>13.23</v>
      </c>
      <c r="N798" s="16">
        <f t="shared" si="88"/>
        <v>394500</v>
      </c>
      <c r="O798" s="39">
        <f t="shared" si="84"/>
        <v>358636.36363636359</v>
      </c>
      <c r="P798" s="14">
        <f t="shared" si="81"/>
        <v>302709.09090909094</v>
      </c>
    </row>
    <row r="799" spans="1:16" x14ac:dyDescent="0.3">
      <c r="A799" s="7">
        <v>45556</v>
      </c>
      <c r="B799" s="8" t="s">
        <v>41</v>
      </c>
      <c r="C799" s="9">
        <f t="shared" si="86"/>
        <v>8.418181818181818</v>
      </c>
      <c r="D799" s="9">
        <f t="shared" si="87"/>
        <v>10.909090909090908</v>
      </c>
      <c r="E799" s="19"/>
      <c r="F799" s="19"/>
      <c r="G799" s="11" t="s">
        <v>30</v>
      </c>
      <c r="H799" s="12">
        <v>14000</v>
      </c>
      <c r="I799" s="13"/>
      <c r="J799" s="11"/>
      <c r="K799" s="14">
        <f t="shared" si="85"/>
        <v>12854.545454545441</v>
      </c>
      <c r="L799" s="15">
        <v>10.27</v>
      </c>
      <c r="M799" s="15">
        <v>0</v>
      </c>
      <c r="N799" s="16">
        <f t="shared" si="88"/>
        <v>143780</v>
      </c>
      <c r="O799" s="39">
        <f t="shared" si="84"/>
        <v>130709.0909090909</v>
      </c>
      <c r="P799" s="14">
        <f t="shared" si="81"/>
        <v>117854.54545454546</v>
      </c>
    </row>
    <row r="800" spans="1:16" hidden="1" x14ac:dyDescent="0.3">
      <c r="A800" s="7">
        <v>45556</v>
      </c>
      <c r="B800" s="8" t="s">
        <v>41</v>
      </c>
      <c r="C800" s="9">
        <f t="shared" si="86"/>
        <v>8.418181818181818</v>
      </c>
      <c r="D800" s="9">
        <f t="shared" si="87"/>
        <v>10.909090909090908</v>
      </c>
      <c r="E800" s="21"/>
      <c r="F800" s="21"/>
      <c r="G800" s="20" t="s">
        <v>22</v>
      </c>
      <c r="H800" s="12"/>
      <c r="I800" s="13">
        <v>3000</v>
      </c>
      <c r="J800" s="11"/>
      <c r="K800" s="14">
        <f t="shared" si="85"/>
        <v>-32727.272727272724</v>
      </c>
      <c r="L800" s="15">
        <v>0</v>
      </c>
      <c r="M800" s="15">
        <v>0</v>
      </c>
      <c r="N800" s="16">
        <f>(H800*L800)+(I800*M800)</f>
        <v>0</v>
      </c>
      <c r="O800" s="39">
        <f t="shared" si="84"/>
        <v>0</v>
      </c>
      <c r="P800" s="14">
        <f t="shared" si="81"/>
        <v>32727.272727272724</v>
      </c>
    </row>
    <row r="801" spans="1:16" x14ac:dyDescent="0.3">
      <c r="A801" s="7">
        <v>45556</v>
      </c>
      <c r="B801" s="8" t="s">
        <v>19</v>
      </c>
      <c r="C801" s="9">
        <f>9.26/1.1</f>
        <v>8.418181818181818</v>
      </c>
      <c r="D801" s="9">
        <f>12/1.1</f>
        <v>10.909090909090908</v>
      </c>
      <c r="E801" s="12">
        <v>3000</v>
      </c>
      <c r="F801" s="12"/>
      <c r="G801" s="20" t="s">
        <v>17</v>
      </c>
      <c r="H801" s="12">
        <v>3000</v>
      </c>
      <c r="I801" s="13"/>
      <c r="J801" s="11"/>
      <c r="K801" s="14">
        <f t="shared" si="85"/>
        <v>81.818181818180165</v>
      </c>
      <c r="L801" s="15">
        <v>9.2899999999999991</v>
      </c>
      <c r="M801" s="15"/>
      <c r="N801" s="16">
        <f t="shared" si="88"/>
        <v>27869.999999999996</v>
      </c>
      <c r="O801" s="39">
        <f t="shared" si="84"/>
        <v>25336.363636363632</v>
      </c>
      <c r="P801" s="14">
        <f t="shared" si="81"/>
        <v>25254.545454545452</v>
      </c>
    </row>
    <row r="802" spans="1:16" x14ac:dyDescent="0.3">
      <c r="A802" s="7">
        <v>45558</v>
      </c>
      <c r="B802" s="8" t="s">
        <v>41</v>
      </c>
      <c r="C802" s="9">
        <f t="shared" si="86"/>
        <v>8.418181818181818</v>
      </c>
      <c r="D802" s="9">
        <f t="shared" si="87"/>
        <v>10.909090909090908</v>
      </c>
      <c r="E802" s="10">
        <v>94000</v>
      </c>
      <c r="F802" s="10">
        <v>4000</v>
      </c>
      <c r="G802" s="20" t="s">
        <v>27</v>
      </c>
      <c r="H802" s="12">
        <v>29000</v>
      </c>
      <c r="I802" s="13">
        <v>4000</v>
      </c>
      <c r="J802" s="11"/>
      <c r="K802" s="14">
        <f t="shared" si="85"/>
        <v>42972.727272727236</v>
      </c>
      <c r="L802" s="15">
        <v>10.77</v>
      </c>
      <c r="M802" s="15">
        <v>12.87</v>
      </c>
      <c r="N802" s="16">
        <f t="shared" si="88"/>
        <v>363810</v>
      </c>
      <c r="O802" s="39">
        <f t="shared" si="84"/>
        <v>330736.36363636359</v>
      </c>
      <c r="P802" s="14">
        <f t="shared" si="81"/>
        <v>287763.63636363635</v>
      </c>
    </row>
    <row r="803" spans="1:16" x14ac:dyDescent="0.3">
      <c r="A803" s="7">
        <v>45558</v>
      </c>
      <c r="B803" s="8" t="s">
        <v>41</v>
      </c>
      <c r="C803" s="9">
        <f t="shared" si="86"/>
        <v>8.418181818181818</v>
      </c>
      <c r="D803" s="9">
        <f t="shared" si="87"/>
        <v>10.909090909090908</v>
      </c>
      <c r="E803" s="19"/>
      <c r="F803" s="19"/>
      <c r="G803" s="20" t="s">
        <v>17</v>
      </c>
      <c r="H803" s="12">
        <v>33000</v>
      </c>
      <c r="I803" s="13"/>
      <c r="J803" s="11"/>
      <c r="K803" s="14">
        <f t="shared" si="85"/>
        <v>900</v>
      </c>
      <c r="L803" s="15">
        <v>9.2899999999999991</v>
      </c>
      <c r="M803" s="15"/>
      <c r="N803" s="16">
        <f t="shared" si="88"/>
        <v>306570</v>
      </c>
      <c r="O803" s="39">
        <f t="shared" si="84"/>
        <v>278700</v>
      </c>
      <c r="P803" s="14">
        <f t="shared" si="81"/>
        <v>277800</v>
      </c>
    </row>
    <row r="804" spans="1:16" x14ac:dyDescent="0.3">
      <c r="A804" s="7">
        <v>45558</v>
      </c>
      <c r="B804" s="8" t="s">
        <v>41</v>
      </c>
      <c r="C804" s="9">
        <f t="shared" si="86"/>
        <v>8.418181818181818</v>
      </c>
      <c r="D804" s="9">
        <f t="shared" si="87"/>
        <v>10.909090909090908</v>
      </c>
      <c r="E804" s="19"/>
      <c r="F804" s="19"/>
      <c r="G804" s="11" t="s">
        <v>23</v>
      </c>
      <c r="H804" s="12">
        <v>16000</v>
      </c>
      <c r="I804" s="13"/>
      <c r="J804" s="11"/>
      <c r="K804" s="14">
        <f t="shared" si="85"/>
        <v>26618.181818181794</v>
      </c>
      <c r="L804" s="15">
        <v>11.09</v>
      </c>
      <c r="M804" s="15">
        <v>13.1</v>
      </c>
      <c r="N804" s="16">
        <f t="shared" si="88"/>
        <v>177440</v>
      </c>
      <c r="O804" s="39">
        <f t="shared" si="84"/>
        <v>161309.09090909088</v>
      </c>
      <c r="P804" s="14">
        <f t="shared" si="81"/>
        <v>134690.90909090909</v>
      </c>
    </row>
    <row r="805" spans="1:16" hidden="1" x14ac:dyDescent="0.3">
      <c r="A805" s="7">
        <v>45558</v>
      </c>
      <c r="B805" s="8" t="s">
        <v>41</v>
      </c>
      <c r="C805" s="9">
        <f t="shared" si="86"/>
        <v>8.418181818181818</v>
      </c>
      <c r="D805" s="9">
        <f t="shared" si="87"/>
        <v>10.909090909090908</v>
      </c>
      <c r="E805" s="21"/>
      <c r="F805" s="21"/>
      <c r="G805" s="11" t="s">
        <v>22</v>
      </c>
      <c r="H805" s="12">
        <v>16000</v>
      </c>
      <c r="I805" s="13"/>
      <c r="J805" s="11"/>
      <c r="K805" s="14">
        <f t="shared" si="85"/>
        <v>-134690.90909090909</v>
      </c>
      <c r="L805" s="15"/>
      <c r="M805" s="15"/>
      <c r="N805" s="16">
        <f t="shared" si="88"/>
        <v>0</v>
      </c>
      <c r="O805" s="39">
        <f t="shared" si="84"/>
        <v>0</v>
      </c>
      <c r="P805" s="14">
        <f t="shared" si="81"/>
        <v>134690.90909090909</v>
      </c>
    </row>
    <row r="806" spans="1:16" x14ac:dyDescent="0.3">
      <c r="A806" s="7">
        <v>45559</v>
      </c>
      <c r="B806" s="8" t="s">
        <v>41</v>
      </c>
      <c r="C806" s="9">
        <f t="shared" si="86"/>
        <v>8.418181818181818</v>
      </c>
      <c r="D806" s="9">
        <f t="shared" si="87"/>
        <v>10.909090909090908</v>
      </c>
      <c r="E806" s="12">
        <v>33000</v>
      </c>
      <c r="F806" s="12"/>
      <c r="G806" s="11" t="s">
        <v>17</v>
      </c>
      <c r="H806" s="12">
        <v>33000</v>
      </c>
      <c r="I806" s="13"/>
      <c r="J806" s="11"/>
      <c r="K806" s="14">
        <f t="shared" si="85"/>
        <v>900</v>
      </c>
      <c r="L806" s="15">
        <v>9.2899999999999991</v>
      </c>
      <c r="M806" s="15"/>
      <c r="N806" s="16">
        <f t="shared" si="88"/>
        <v>306570</v>
      </c>
      <c r="O806" s="39">
        <f t="shared" si="84"/>
        <v>278700</v>
      </c>
      <c r="P806" s="14">
        <f t="shared" si="81"/>
        <v>277800</v>
      </c>
    </row>
    <row r="807" spans="1:16" x14ac:dyDescent="0.3">
      <c r="A807" s="7">
        <v>45559</v>
      </c>
      <c r="B807" s="8" t="s">
        <v>43</v>
      </c>
      <c r="C807" s="9">
        <v>0</v>
      </c>
      <c r="D807" s="9">
        <v>10.478999999999999</v>
      </c>
      <c r="E807" s="12"/>
      <c r="F807" s="12">
        <v>17000</v>
      </c>
      <c r="G807" s="20" t="s">
        <v>17</v>
      </c>
      <c r="H807" s="12">
        <v>0</v>
      </c>
      <c r="I807" s="13">
        <v>17000</v>
      </c>
      <c r="J807" s="11"/>
      <c r="K807" s="14">
        <f t="shared" si="85"/>
        <v>2675.1818181817944</v>
      </c>
      <c r="L807" s="15"/>
      <c r="M807" s="15">
        <v>11.7</v>
      </c>
      <c r="N807" s="16">
        <f t="shared" si="88"/>
        <v>198900</v>
      </c>
      <c r="O807" s="39">
        <f t="shared" si="84"/>
        <v>180818.18181818179</v>
      </c>
      <c r="P807" s="14">
        <f t="shared" si="81"/>
        <v>178143</v>
      </c>
    </row>
    <row r="808" spans="1:16" x14ac:dyDescent="0.3">
      <c r="A808" s="7">
        <v>45561</v>
      </c>
      <c r="B808" s="8" t="s">
        <v>39</v>
      </c>
      <c r="C808" s="9">
        <v>8.4090000000000007</v>
      </c>
      <c r="D808" s="9">
        <v>10.5</v>
      </c>
      <c r="E808" s="10">
        <v>7000</v>
      </c>
      <c r="F808" s="10">
        <v>10000</v>
      </c>
      <c r="G808" s="20" t="s">
        <v>17</v>
      </c>
      <c r="H808" s="12">
        <v>7000</v>
      </c>
      <c r="I808" s="13">
        <v>3000</v>
      </c>
      <c r="J808" s="11"/>
      <c r="K808" s="14">
        <f t="shared" si="85"/>
        <v>664.27272727272066</v>
      </c>
      <c r="L808" s="15">
        <v>9.2899999999999991</v>
      </c>
      <c r="M808" s="15">
        <v>11.7</v>
      </c>
      <c r="N808" s="16">
        <f t="shared" si="88"/>
        <v>100130</v>
      </c>
      <c r="O808" s="39">
        <f t="shared" si="84"/>
        <v>91027.272727272721</v>
      </c>
      <c r="P808" s="14">
        <f t="shared" si="81"/>
        <v>90363</v>
      </c>
    </row>
    <row r="809" spans="1:16" hidden="1" x14ac:dyDescent="0.3">
      <c r="A809" s="7">
        <v>45561</v>
      </c>
      <c r="B809" s="8" t="s">
        <v>39</v>
      </c>
      <c r="C809" s="9">
        <v>8.4090000000000007</v>
      </c>
      <c r="D809" s="9">
        <v>10.5</v>
      </c>
      <c r="E809" s="21"/>
      <c r="F809" s="21"/>
      <c r="G809" s="20" t="s">
        <v>22</v>
      </c>
      <c r="H809" s="12"/>
      <c r="I809" s="13">
        <v>7000</v>
      </c>
      <c r="J809" s="11"/>
      <c r="K809" s="14">
        <f t="shared" si="85"/>
        <v>-73500</v>
      </c>
      <c r="L809" s="15"/>
      <c r="M809" s="15"/>
      <c r="N809" s="16">
        <f t="shared" si="88"/>
        <v>0</v>
      </c>
      <c r="O809" s="39">
        <f t="shared" si="84"/>
        <v>0</v>
      </c>
      <c r="P809" s="14">
        <f t="shared" si="81"/>
        <v>73500</v>
      </c>
    </row>
    <row r="810" spans="1:16" x14ac:dyDescent="0.3">
      <c r="A810" s="7">
        <v>45561</v>
      </c>
      <c r="B810" s="8" t="s">
        <v>41</v>
      </c>
      <c r="C810" s="9">
        <f t="shared" ref="C810" si="89">9.26/1.1</f>
        <v>8.418181818181818</v>
      </c>
      <c r="D810" s="9">
        <f t="shared" ref="D810" si="90">12/1.1</f>
        <v>10.909090909090908</v>
      </c>
      <c r="E810" s="12">
        <v>33000</v>
      </c>
      <c r="F810" s="12"/>
      <c r="G810" s="20" t="s">
        <v>17</v>
      </c>
      <c r="H810" s="12">
        <v>33000</v>
      </c>
      <c r="I810" s="13"/>
      <c r="J810" s="11"/>
      <c r="K810" s="14">
        <f t="shared" si="85"/>
        <v>900</v>
      </c>
      <c r="L810" s="15">
        <v>9.2899999999999991</v>
      </c>
      <c r="M810" s="15">
        <v>11.7</v>
      </c>
      <c r="N810" s="16">
        <f t="shared" si="88"/>
        <v>306570</v>
      </c>
      <c r="O810" s="39">
        <f t="shared" si="84"/>
        <v>278700</v>
      </c>
      <c r="P810" s="14">
        <f t="shared" si="81"/>
        <v>277800</v>
      </c>
    </row>
    <row r="811" spans="1:16" x14ac:dyDescent="0.3">
      <c r="A811" s="7">
        <v>45561</v>
      </c>
      <c r="B811" s="8" t="s">
        <v>19</v>
      </c>
      <c r="C811" s="9">
        <v>8.4090000000000007</v>
      </c>
      <c r="D811" s="9">
        <v>10.5</v>
      </c>
      <c r="E811" s="12"/>
      <c r="F811" s="12">
        <v>2000</v>
      </c>
      <c r="G811" s="20" t="s">
        <v>17</v>
      </c>
      <c r="H811" s="12"/>
      <c r="I811" s="13">
        <v>2000</v>
      </c>
      <c r="J811" s="11"/>
      <c r="K811" s="14">
        <f t="shared" si="85"/>
        <v>272.72727272727207</v>
      </c>
      <c r="L811" s="15"/>
      <c r="M811" s="15">
        <v>11.7</v>
      </c>
      <c r="N811" s="16">
        <f t="shared" si="88"/>
        <v>23400</v>
      </c>
      <c r="O811" s="39">
        <f t="shared" si="84"/>
        <v>21272.727272727272</v>
      </c>
      <c r="P811" s="14">
        <f t="shared" si="81"/>
        <v>21000</v>
      </c>
    </row>
    <row r="812" spans="1:16" x14ac:dyDescent="0.3">
      <c r="A812" s="7">
        <v>45562</v>
      </c>
      <c r="B812" s="8" t="s">
        <v>39</v>
      </c>
      <c r="C812" s="9">
        <v>8.4090000000000007</v>
      </c>
      <c r="D812" s="9">
        <v>10.5</v>
      </c>
      <c r="E812" s="12">
        <v>15000</v>
      </c>
      <c r="F812" s="12">
        <v>18000</v>
      </c>
      <c r="G812" s="11" t="s">
        <v>17</v>
      </c>
      <c r="H812" s="12">
        <v>15000</v>
      </c>
      <c r="I812" s="13">
        <v>18000</v>
      </c>
      <c r="J812" s="11"/>
      <c r="K812" s="14">
        <f t="shared" si="85"/>
        <v>3001.3636363635887</v>
      </c>
      <c r="L812" s="15">
        <v>9.2899999999999991</v>
      </c>
      <c r="M812" s="15">
        <v>11.7</v>
      </c>
      <c r="N812" s="16">
        <f t="shared" si="88"/>
        <v>349950</v>
      </c>
      <c r="O812" s="39">
        <f t="shared" si="84"/>
        <v>318136.36363636359</v>
      </c>
      <c r="P812" s="14">
        <f t="shared" si="81"/>
        <v>315135</v>
      </c>
    </row>
    <row r="813" spans="1:16" x14ac:dyDescent="0.3">
      <c r="A813" s="7">
        <v>45562</v>
      </c>
      <c r="B813" s="8" t="s">
        <v>19</v>
      </c>
      <c r="C813" s="9">
        <v>8.4090000000000007</v>
      </c>
      <c r="D813" s="9">
        <v>10.5</v>
      </c>
      <c r="E813" s="12"/>
      <c r="F813" s="12">
        <v>1000</v>
      </c>
      <c r="G813" s="11" t="s">
        <v>17</v>
      </c>
      <c r="H813" s="12"/>
      <c r="I813" s="13">
        <v>1000</v>
      </c>
      <c r="J813" s="11"/>
      <c r="K813" s="14">
        <f t="shared" si="85"/>
        <v>136.36363636363603</v>
      </c>
      <c r="L813" s="15">
        <v>9.2899999999999991</v>
      </c>
      <c r="M813" s="15">
        <v>11.7</v>
      </c>
      <c r="N813" s="16">
        <f t="shared" si="88"/>
        <v>11700</v>
      </c>
      <c r="O813" s="39">
        <f t="shared" si="84"/>
        <v>10636.363636363636</v>
      </c>
      <c r="P813" s="14">
        <f t="shared" si="81"/>
        <v>10500</v>
      </c>
    </row>
    <row r="814" spans="1:16" x14ac:dyDescent="0.3">
      <c r="A814" s="7">
        <v>45563</v>
      </c>
      <c r="B814" s="8" t="s">
        <v>20</v>
      </c>
      <c r="C814" s="9">
        <f>9.2/1.1</f>
        <v>8.3636363636363615</v>
      </c>
      <c r="D814" s="9"/>
      <c r="E814" s="10">
        <v>32000</v>
      </c>
      <c r="F814" s="12"/>
      <c r="G814" s="20" t="s">
        <v>31</v>
      </c>
      <c r="H814" s="12">
        <v>30000</v>
      </c>
      <c r="I814" s="13"/>
      <c r="J814" s="11"/>
      <c r="K814" s="14">
        <f t="shared" si="85"/>
        <v>46363.636363636382</v>
      </c>
      <c r="L814" s="15">
        <v>10.9</v>
      </c>
      <c r="M814" s="15"/>
      <c r="N814" s="16">
        <f t="shared" si="88"/>
        <v>327000</v>
      </c>
      <c r="O814" s="39">
        <f t="shared" si="84"/>
        <v>297272.72727272724</v>
      </c>
      <c r="P814" s="14">
        <f t="shared" si="81"/>
        <v>250909.09090909085</v>
      </c>
    </row>
    <row r="815" spans="1:16" hidden="1" x14ac:dyDescent="0.3">
      <c r="A815" s="7">
        <v>45563</v>
      </c>
      <c r="B815" s="8" t="s">
        <v>20</v>
      </c>
      <c r="C815" s="9">
        <f>9.2/1.1</f>
        <v>8.3636363636363615</v>
      </c>
      <c r="D815" s="9"/>
      <c r="E815" s="21"/>
      <c r="F815" s="12"/>
      <c r="G815" s="20" t="s">
        <v>22</v>
      </c>
      <c r="H815" s="12">
        <v>2000</v>
      </c>
      <c r="I815" s="13"/>
      <c r="J815" s="11"/>
      <c r="K815" s="14">
        <f t="shared" si="85"/>
        <v>-16727.272727272724</v>
      </c>
      <c r="L815" s="15"/>
      <c r="M815" s="15"/>
      <c r="N815" s="16">
        <f t="shared" si="88"/>
        <v>0</v>
      </c>
      <c r="O815" s="39">
        <f t="shared" si="84"/>
        <v>0</v>
      </c>
      <c r="P815" s="14">
        <f t="shared" si="81"/>
        <v>16727.272727272724</v>
      </c>
    </row>
    <row r="816" spans="1:16" x14ac:dyDescent="0.3">
      <c r="A816" s="7">
        <v>45563</v>
      </c>
      <c r="B816" s="8" t="s">
        <v>19</v>
      </c>
      <c r="C816" s="9">
        <v>8.4090000000000007</v>
      </c>
      <c r="D816" s="9">
        <v>10.5</v>
      </c>
      <c r="E816" s="12"/>
      <c r="F816" s="12">
        <v>2000</v>
      </c>
      <c r="G816" s="20" t="s">
        <v>23</v>
      </c>
      <c r="H816" s="12"/>
      <c r="I816" s="13">
        <v>2000</v>
      </c>
      <c r="J816" s="11"/>
      <c r="K816" s="14">
        <f t="shared" si="85"/>
        <v>2818.1818181818162</v>
      </c>
      <c r="L816" s="15">
        <v>11.09</v>
      </c>
      <c r="M816" s="15">
        <v>13.1</v>
      </c>
      <c r="N816" s="16">
        <f t="shared" si="88"/>
        <v>26200</v>
      </c>
      <c r="O816" s="39">
        <f t="shared" si="84"/>
        <v>23818.181818181816</v>
      </c>
      <c r="P816" s="14">
        <f t="shared" si="81"/>
        <v>21000</v>
      </c>
    </row>
    <row r="817" spans="1:16" x14ac:dyDescent="0.3">
      <c r="A817" s="7">
        <v>45565</v>
      </c>
      <c r="B817" s="8" t="s">
        <v>39</v>
      </c>
      <c r="C817" s="9">
        <v>8.4090000000000007</v>
      </c>
      <c r="D817" s="9">
        <v>10.5</v>
      </c>
      <c r="E817" s="12">
        <v>16000</v>
      </c>
      <c r="F817" s="12">
        <v>17000</v>
      </c>
      <c r="G817" s="20" t="s">
        <v>17</v>
      </c>
      <c r="H817" s="12">
        <v>16000</v>
      </c>
      <c r="I817" s="13">
        <v>17000</v>
      </c>
      <c r="J817" s="11"/>
      <c r="K817" s="14">
        <f t="shared" si="85"/>
        <v>2901.4545454545296</v>
      </c>
      <c r="L817" s="15">
        <v>9.2899999999999991</v>
      </c>
      <c r="M817" s="15">
        <v>11.7</v>
      </c>
      <c r="N817" s="16">
        <f t="shared" si="88"/>
        <v>347540</v>
      </c>
      <c r="O817" s="39">
        <f t="shared" si="84"/>
        <v>315945.45454545453</v>
      </c>
      <c r="P817" s="14">
        <f t="shared" si="81"/>
        <v>313044</v>
      </c>
    </row>
    <row r="818" spans="1:16" x14ac:dyDescent="0.3">
      <c r="A818" s="7">
        <v>45566</v>
      </c>
      <c r="B818" s="8" t="s">
        <v>19</v>
      </c>
      <c r="C818" s="9">
        <v>8.4090000000000007</v>
      </c>
      <c r="D818" s="9">
        <v>10.5</v>
      </c>
      <c r="E818" s="12">
        <v>10000</v>
      </c>
      <c r="F818" s="12"/>
      <c r="G818" s="20" t="s">
        <v>23</v>
      </c>
      <c r="H818" s="12">
        <v>10000</v>
      </c>
      <c r="I818" s="13"/>
      <c r="J818" s="11"/>
      <c r="K818" s="14">
        <f>O818-P818</f>
        <v>13091.818181818177</v>
      </c>
      <c r="L818" s="15">
        <v>10.69</v>
      </c>
      <c r="M818" s="15"/>
      <c r="N818" s="16">
        <f t="shared" si="88"/>
        <v>106900</v>
      </c>
      <c r="O818" s="39">
        <f>N818/1.1</f>
        <v>97181.818181818177</v>
      </c>
      <c r="P818" s="14">
        <f t="shared" si="81"/>
        <v>84090</v>
      </c>
    </row>
    <row r="819" spans="1:16" x14ac:dyDescent="0.3">
      <c r="A819" s="7">
        <v>45567</v>
      </c>
      <c r="B819" s="8" t="s">
        <v>43</v>
      </c>
      <c r="C819" s="9">
        <v>8.58</v>
      </c>
      <c r="D819" s="9">
        <v>10</v>
      </c>
      <c r="E819" s="10"/>
      <c r="F819" s="10">
        <v>17000</v>
      </c>
      <c r="G819" s="20" t="s">
        <v>17</v>
      </c>
      <c r="H819" s="12"/>
      <c r="I819" s="13">
        <v>14000</v>
      </c>
      <c r="J819" s="11"/>
      <c r="K819" s="14">
        <f>O819-P819</f>
        <v>8909.0909090908826</v>
      </c>
      <c r="L819" s="15"/>
      <c r="M819" s="15">
        <v>11.7</v>
      </c>
      <c r="N819" s="16">
        <f t="shared" si="88"/>
        <v>163800</v>
      </c>
      <c r="O819" s="39">
        <f t="shared" ref="O819:O882" si="91">N819/1.1</f>
        <v>148909.09090909088</v>
      </c>
      <c r="P819" s="14">
        <f t="shared" si="81"/>
        <v>140000</v>
      </c>
    </row>
    <row r="820" spans="1:16" hidden="1" x14ac:dyDescent="0.3">
      <c r="A820" s="7">
        <v>45567</v>
      </c>
      <c r="B820" s="8" t="s">
        <v>43</v>
      </c>
      <c r="C820" s="9">
        <v>8.58</v>
      </c>
      <c r="D820" s="9">
        <v>10</v>
      </c>
      <c r="E820" s="21"/>
      <c r="F820" s="21"/>
      <c r="G820" s="20" t="s">
        <v>22</v>
      </c>
      <c r="H820" s="12"/>
      <c r="I820" s="13">
        <v>3000</v>
      </c>
      <c r="J820" s="11"/>
      <c r="K820" s="14">
        <f t="shared" ref="K820:K883" si="92">O820-P820</f>
        <v>-30000</v>
      </c>
      <c r="L820" s="15"/>
      <c r="M820" s="15"/>
      <c r="N820" s="16">
        <f t="shared" si="88"/>
        <v>0</v>
      </c>
      <c r="O820" s="39">
        <f t="shared" si="91"/>
        <v>0</v>
      </c>
      <c r="P820" s="14">
        <f t="shared" si="81"/>
        <v>30000</v>
      </c>
    </row>
    <row r="821" spans="1:16" x14ac:dyDescent="0.3">
      <c r="A821" s="7">
        <v>45567</v>
      </c>
      <c r="B821" s="8" t="s">
        <v>39</v>
      </c>
      <c r="C821" s="9">
        <v>8.4090000000000007</v>
      </c>
      <c r="D821" s="9">
        <v>10.5</v>
      </c>
      <c r="E821" s="10">
        <v>63000</v>
      </c>
      <c r="F821" s="10">
        <v>30000</v>
      </c>
      <c r="G821" s="20" t="s">
        <v>32</v>
      </c>
      <c r="H821" s="12">
        <v>20000</v>
      </c>
      <c r="I821" s="12">
        <v>10000</v>
      </c>
      <c r="J821" s="11"/>
      <c r="K821" s="14">
        <f t="shared" si="92"/>
        <v>5729.0909090908826</v>
      </c>
      <c r="L821" s="15">
        <v>9.2899999999999991</v>
      </c>
      <c r="M821" s="15">
        <v>12.1</v>
      </c>
      <c r="N821" s="16">
        <f t="shared" si="88"/>
        <v>306800</v>
      </c>
      <c r="O821" s="39">
        <f t="shared" si="91"/>
        <v>278909.09090909088</v>
      </c>
      <c r="P821" s="14">
        <f t="shared" si="81"/>
        <v>273180</v>
      </c>
    </row>
    <row r="822" spans="1:16" x14ac:dyDescent="0.3">
      <c r="A822" s="7">
        <v>45567</v>
      </c>
      <c r="B822" s="8" t="s">
        <v>39</v>
      </c>
      <c r="C822" s="9">
        <v>8.4090000000000007</v>
      </c>
      <c r="D822" s="9">
        <v>10.5</v>
      </c>
      <c r="E822" s="19"/>
      <c r="F822" s="19"/>
      <c r="G822" s="20" t="s">
        <v>32</v>
      </c>
      <c r="H822" s="12">
        <v>21000</v>
      </c>
      <c r="I822" s="12">
        <v>10000</v>
      </c>
      <c r="J822" s="11"/>
      <c r="K822" s="14">
        <f t="shared" si="92"/>
        <v>5765.5454545454122</v>
      </c>
      <c r="L822" s="15">
        <v>9.2899999999999991</v>
      </c>
      <c r="M822" s="15">
        <v>12.1</v>
      </c>
      <c r="N822" s="16">
        <f t="shared" si="88"/>
        <v>316090</v>
      </c>
      <c r="O822" s="39">
        <f>N822/1.1</f>
        <v>287354.54545454541</v>
      </c>
      <c r="P822" s="14">
        <f t="shared" ref="P822:P885" si="93">(C822*H822)+(I822*D822)</f>
        <v>281589</v>
      </c>
    </row>
    <row r="823" spans="1:16" x14ac:dyDescent="0.3">
      <c r="A823" s="7">
        <v>45567</v>
      </c>
      <c r="B823" s="8" t="s">
        <v>39</v>
      </c>
      <c r="C823" s="9">
        <v>8.4090000000000007</v>
      </c>
      <c r="D823" s="9">
        <v>10.5</v>
      </c>
      <c r="E823" s="19"/>
      <c r="F823" s="19"/>
      <c r="G823" s="20" t="s">
        <v>25</v>
      </c>
      <c r="H823" s="12">
        <v>12000</v>
      </c>
      <c r="I823" s="12">
        <v>5000</v>
      </c>
      <c r="J823" s="11"/>
      <c r="K823" s="14">
        <f t="shared" si="92"/>
        <v>25673.818181818177</v>
      </c>
      <c r="L823" s="15">
        <v>11.02</v>
      </c>
      <c r="M823" s="15">
        <v>12.95</v>
      </c>
      <c r="N823" s="16">
        <f t="shared" si="88"/>
        <v>196990</v>
      </c>
      <c r="O823" s="39">
        <f t="shared" si="91"/>
        <v>179081.81818181818</v>
      </c>
      <c r="P823" s="14">
        <f t="shared" si="93"/>
        <v>153408</v>
      </c>
    </row>
    <row r="824" spans="1:16" x14ac:dyDescent="0.3">
      <c r="A824" s="7">
        <v>45567</v>
      </c>
      <c r="B824" s="8" t="s">
        <v>39</v>
      </c>
      <c r="C824" s="9">
        <v>8.4090000000000007</v>
      </c>
      <c r="D824" s="9">
        <v>10.5</v>
      </c>
      <c r="E824" s="19"/>
      <c r="F824" s="19"/>
      <c r="G824" s="20" t="s">
        <v>23</v>
      </c>
      <c r="H824" s="12"/>
      <c r="I824" s="12">
        <v>5000</v>
      </c>
      <c r="J824" s="11"/>
      <c r="K824" s="14">
        <f t="shared" si="92"/>
        <v>5681.8181818181765</v>
      </c>
      <c r="L824" s="15"/>
      <c r="M824" s="15">
        <v>12.8</v>
      </c>
      <c r="N824" s="16">
        <f t="shared" si="88"/>
        <v>64000</v>
      </c>
      <c r="O824" s="39">
        <f t="shared" si="91"/>
        <v>58181.818181818177</v>
      </c>
      <c r="P824" s="14">
        <f t="shared" si="93"/>
        <v>52500</v>
      </c>
    </row>
    <row r="825" spans="1:16" hidden="1" x14ac:dyDescent="0.3">
      <c r="A825" s="7">
        <v>45567</v>
      </c>
      <c r="B825" s="8" t="s">
        <v>39</v>
      </c>
      <c r="C825" s="9">
        <v>8.4090000000000007</v>
      </c>
      <c r="D825" s="9">
        <v>10.5</v>
      </c>
      <c r="E825" s="21"/>
      <c r="F825" s="21"/>
      <c r="G825" s="20" t="s">
        <v>22</v>
      </c>
      <c r="H825" s="12">
        <v>10000</v>
      </c>
      <c r="I825" s="12"/>
      <c r="J825" s="11"/>
      <c r="K825" s="14">
        <f t="shared" si="92"/>
        <v>-84090</v>
      </c>
      <c r="L825" s="15"/>
      <c r="M825" s="15"/>
      <c r="N825" s="16">
        <f t="shared" si="88"/>
        <v>0</v>
      </c>
      <c r="O825" s="39">
        <f t="shared" si="91"/>
        <v>0</v>
      </c>
      <c r="P825" s="14">
        <f t="shared" si="93"/>
        <v>84090</v>
      </c>
    </row>
    <row r="826" spans="1:16" x14ac:dyDescent="0.3">
      <c r="A826" s="7">
        <v>45569</v>
      </c>
      <c r="B826" s="8" t="s">
        <v>39</v>
      </c>
      <c r="C826" s="9">
        <v>8.3249999999999993</v>
      </c>
      <c r="D826" s="9">
        <v>10.08</v>
      </c>
      <c r="E826" s="10">
        <v>94000</v>
      </c>
      <c r="F826" s="10">
        <v>4000</v>
      </c>
      <c r="G826" s="20" t="s">
        <v>17</v>
      </c>
      <c r="H826" s="12">
        <v>33000</v>
      </c>
      <c r="I826" s="13"/>
      <c r="J826" s="11"/>
      <c r="K826" s="14">
        <f t="shared" si="92"/>
        <v>1275</v>
      </c>
      <c r="L826" s="15">
        <v>9.1999999999999993</v>
      </c>
      <c r="M826" s="15"/>
      <c r="N826" s="16">
        <f t="shared" si="88"/>
        <v>303600</v>
      </c>
      <c r="O826" s="39">
        <f t="shared" si="91"/>
        <v>276000</v>
      </c>
      <c r="P826" s="14">
        <f t="shared" si="93"/>
        <v>274725</v>
      </c>
    </row>
    <row r="827" spans="1:16" x14ac:dyDescent="0.3">
      <c r="A827" s="7">
        <v>45569</v>
      </c>
      <c r="B827" s="8" t="s">
        <v>39</v>
      </c>
      <c r="C827" s="9">
        <v>8.3249999999999993</v>
      </c>
      <c r="D827" s="9">
        <v>10.08</v>
      </c>
      <c r="E827" s="19"/>
      <c r="F827" s="19"/>
      <c r="G827" s="20" t="s">
        <v>32</v>
      </c>
      <c r="H827" s="12">
        <v>32000</v>
      </c>
      <c r="I827" s="12"/>
      <c r="J827" s="11"/>
      <c r="K827" s="14">
        <f t="shared" si="92"/>
        <v>1236.3636363635887</v>
      </c>
      <c r="L827" s="15">
        <v>9.1999999999999993</v>
      </c>
      <c r="M827" s="15">
        <v>11.8</v>
      </c>
      <c r="N827" s="16">
        <f t="shared" si="88"/>
        <v>294400</v>
      </c>
      <c r="O827" s="39">
        <f t="shared" si="91"/>
        <v>267636.36363636359</v>
      </c>
      <c r="P827" s="14">
        <f t="shared" si="93"/>
        <v>266400</v>
      </c>
    </row>
    <row r="828" spans="1:16" x14ac:dyDescent="0.3">
      <c r="A828" s="7">
        <v>45570</v>
      </c>
      <c r="B828" s="8" t="s">
        <v>39</v>
      </c>
      <c r="C828" s="9">
        <v>8.3249999999999993</v>
      </c>
      <c r="D828" s="9">
        <v>10.08</v>
      </c>
      <c r="E828" s="21"/>
      <c r="F828" s="21"/>
      <c r="G828" s="20" t="s">
        <v>27</v>
      </c>
      <c r="H828" s="12">
        <v>29000</v>
      </c>
      <c r="I828" s="13">
        <v>4000</v>
      </c>
      <c r="J828" s="11"/>
      <c r="K828" s="14">
        <f t="shared" si="92"/>
        <v>39991.363636363589</v>
      </c>
      <c r="L828" s="15">
        <v>10.47</v>
      </c>
      <c r="M828" s="15">
        <v>12.57</v>
      </c>
      <c r="N828" s="16">
        <f t="shared" si="88"/>
        <v>353910</v>
      </c>
      <c r="O828" s="39">
        <f t="shared" si="91"/>
        <v>321736.36363636359</v>
      </c>
      <c r="P828" s="14">
        <f t="shared" si="93"/>
        <v>281745</v>
      </c>
    </row>
    <row r="829" spans="1:16" x14ac:dyDescent="0.3">
      <c r="A829" s="7">
        <v>45569</v>
      </c>
      <c r="B829" s="8" t="s">
        <v>43</v>
      </c>
      <c r="C829" s="9">
        <v>8.48</v>
      </c>
      <c r="D829" s="9">
        <v>10</v>
      </c>
      <c r="E829" s="10">
        <v>28000</v>
      </c>
      <c r="F829" s="10">
        <v>22000</v>
      </c>
      <c r="G829" s="20" t="s">
        <v>33</v>
      </c>
      <c r="H829" s="12">
        <v>28000</v>
      </c>
      <c r="I829" s="13">
        <v>5000</v>
      </c>
      <c r="J829" s="11"/>
      <c r="K829" s="14">
        <f t="shared" si="92"/>
        <v>2660</v>
      </c>
      <c r="L829" s="15">
        <v>9.3699999999999992</v>
      </c>
      <c r="M829" s="15">
        <v>11.35</v>
      </c>
      <c r="N829" s="16">
        <f t="shared" si="88"/>
        <v>319110</v>
      </c>
      <c r="O829" s="39">
        <f t="shared" si="91"/>
        <v>290100</v>
      </c>
      <c r="P829" s="14">
        <f t="shared" si="93"/>
        <v>287440</v>
      </c>
    </row>
    <row r="830" spans="1:16" x14ac:dyDescent="0.3">
      <c r="A830" s="7">
        <v>45569</v>
      </c>
      <c r="B830" s="8" t="s">
        <v>43</v>
      </c>
      <c r="C830" s="9">
        <v>8.48</v>
      </c>
      <c r="D830" s="9">
        <v>10</v>
      </c>
      <c r="E830" s="19"/>
      <c r="F830" s="19"/>
      <c r="G830" s="20" t="s">
        <v>17</v>
      </c>
      <c r="H830" s="12"/>
      <c r="I830" s="13">
        <v>10000</v>
      </c>
      <c r="J830" s="11"/>
      <c r="K830" s="14">
        <f t="shared" si="92"/>
        <v>3181.8181818181765</v>
      </c>
      <c r="L830" s="15"/>
      <c r="M830" s="15">
        <v>11.35</v>
      </c>
      <c r="N830" s="16">
        <f t="shared" si="88"/>
        <v>113500</v>
      </c>
      <c r="O830" s="39">
        <f t="shared" si="91"/>
        <v>103181.81818181818</v>
      </c>
      <c r="P830" s="14">
        <f t="shared" si="93"/>
        <v>100000</v>
      </c>
    </row>
    <row r="831" spans="1:16" hidden="1" x14ac:dyDescent="0.3">
      <c r="A831" s="7">
        <v>45569</v>
      </c>
      <c r="B831" s="8" t="s">
        <v>43</v>
      </c>
      <c r="C831" s="9">
        <v>8.48</v>
      </c>
      <c r="D831" s="9">
        <v>10</v>
      </c>
      <c r="E831" s="21"/>
      <c r="F831" s="21"/>
      <c r="G831" s="20" t="s">
        <v>22</v>
      </c>
      <c r="H831" s="12"/>
      <c r="I831" s="13">
        <v>7000</v>
      </c>
      <c r="J831" s="11"/>
      <c r="K831" s="14">
        <f t="shared" si="92"/>
        <v>-70000</v>
      </c>
      <c r="L831" s="15"/>
      <c r="M831" s="15"/>
      <c r="N831" s="16">
        <f t="shared" si="88"/>
        <v>0</v>
      </c>
      <c r="O831" s="39">
        <f t="shared" si="91"/>
        <v>0</v>
      </c>
      <c r="P831" s="14">
        <f t="shared" si="93"/>
        <v>70000</v>
      </c>
    </row>
    <row r="832" spans="1:16" x14ac:dyDescent="0.3">
      <c r="A832" s="7">
        <v>45570</v>
      </c>
      <c r="B832" s="8" t="s">
        <v>39</v>
      </c>
      <c r="C832" s="9">
        <v>8.3249999999999993</v>
      </c>
      <c r="D832" s="9">
        <v>10.08</v>
      </c>
      <c r="E832" s="10">
        <v>54000</v>
      </c>
      <c r="F832" s="10">
        <v>11000</v>
      </c>
      <c r="G832" s="20" t="s">
        <v>21</v>
      </c>
      <c r="H832" s="12">
        <v>28000</v>
      </c>
      <c r="I832" s="13">
        <v>4000</v>
      </c>
      <c r="J832" s="11"/>
      <c r="K832" s="14">
        <f t="shared" si="92"/>
        <v>49925.45454545453</v>
      </c>
      <c r="L832" s="15">
        <v>10.87</v>
      </c>
      <c r="M832" s="15">
        <v>12.83</v>
      </c>
      <c r="N832" s="16">
        <f t="shared" si="88"/>
        <v>355680</v>
      </c>
      <c r="O832" s="39">
        <f t="shared" si="91"/>
        <v>323345.45454545453</v>
      </c>
      <c r="P832" s="14">
        <f t="shared" si="93"/>
        <v>273420</v>
      </c>
    </row>
    <row r="833" spans="1:16" x14ac:dyDescent="0.3">
      <c r="A833" s="7">
        <v>45570</v>
      </c>
      <c r="B833" s="8" t="s">
        <v>39</v>
      </c>
      <c r="C833" s="9">
        <v>8.3249999999999993</v>
      </c>
      <c r="D833" s="9">
        <v>10.08</v>
      </c>
      <c r="E833" s="21"/>
      <c r="F833" s="21"/>
      <c r="G833" s="20" t="s">
        <v>32</v>
      </c>
      <c r="H833" s="12">
        <v>26000</v>
      </c>
      <c r="I833" s="13">
        <v>7000</v>
      </c>
      <c r="J833" s="11"/>
      <c r="K833" s="14">
        <f t="shared" si="92"/>
        <v>5535.4545454545296</v>
      </c>
      <c r="L833" s="15">
        <v>9.1999999999999993</v>
      </c>
      <c r="M833" s="15">
        <v>11.8</v>
      </c>
      <c r="N833" s="16">
        <f t="shared" si="88"/>
        <v>321800</v>
      </c>
      <c r="O833" s="39">
        <f t="shared" si="91"/>
        <v>292545.45454545453</v>
      </c>
      <c r="P833" s="14">
        <f t="shared" si="93"/>
        <v>287010</v>
      </c>
    </row>
    <row r="834" spans="1:16" x14ac:dyDescent="0.3">
      <c r="A834" s="7">
        <v>45572</v>
      </c>
      <c r="B834" s="8" t="s">
        <v>19</v>
      </c>
      <c r="C834" s="9">
        <v>8.48</v>
      </c>
      <c r="D834" s="9">
        <v>10</v>
      </c>
      <c r="E834" s="12"/>
      <c r="F834" s="12">
        <v>7000</v>
      </c>
      <c r="G834" s="20" t="s">
        <v>17</v>
      </c>
      <c r="H834" s="12"/>
      <c r="I834" s="13">
        <v>7000</v>
      </c>
      <c r="J834" s="11"/>
      <c r="K834" s="14">
        <f t="shared" si="92"/>
        <v>2227.2727272727207</v>
      </c>
      <c r="L834" s="15"/>
      <c r="M834" s="15">
        <v>11.35</v>
      </c>
      <c r="N834" s="16">
        <f t="shared" si="88"/>
        <v>79450</v>
      </c>
      <c r="O834" s="39">
        <f t="shared" si="91"/>
        <v>72227.272727272721</v>
      </c>
      <c r="P834" s="14">
        <f t="shared" si="93"/>
        <v>70000</v>
      </c>
    </row>
    <row r="835" spans="1:16" x14ac:dyDescent="0.3">
      <c r="A835" s="7">
        <v>45572</v>
      </c>
      <c r="B835" s="8" t="s">
        <v>20</v>
      </c>
      <c r="C835" s="9">
        <f>9.15/1.1</f>
        <v>8.3181818181818183</v>
      </c>
      <c r="D835" s="9"/>
      <c r="E835" s="12">
        <v>33000</v>
      </c>
      <c r="F835" s="12"/>
      <c r="G835" s="20" t="s">
        <v>17</v>
      </c>
      <c r="H835" s="12">
        <v>33000</v>
      </c>
      <c r="I835" s="13"/>
      <c r="J835" s="11"/>
      <c r="K835" s="14">
        <f>O835-P835</f>
        <v>1500</v>
      </c>
      <c r="L835" s="15">
        <v>9.1999999999999993</v>
      </c>
      <c r="M835" s="15"/>
      <c r="N835" s="16">
        <f t="shared" si="88"/>
        <v>303600</v>
      </c>
      <c r="O835" s="39">
        <f t="shared" si="91"/>
        <v>276000</v>
      </c>
      <c r="P835" s="14">
        <f t="shared" si="93"/>
        <v>274500</v>
      </c>
    </row>
    <row r="836" spans="1:16" x14ac:dyDescent="0.3">
      <c r="A836" s="7">
        <v>45572</v>
      </c>
      <c r="B836" s="8" t="s">
        <v>43</v>
      </c>
      <c r="C836" s="9">
        <v>8.48</v>
      </c>
      <c r="D836" s="9">
        <v>10</v>
      </c>
      <c r="E836" s="10">
        <v>27000</v>
      </c>
      <c r="F836" s="10">
        <v>5000</v>
      </c>
      <c r="G836" s="11" t="s">
        <v>30</v>
      </c>
      <c r="H836" s="12">
        <v>18000</v>
      </c>
      <c r="I836" s="13"/>
      <c r="J836" s="11"/>
      <c r="K836" s="14">
        <f t="shared" si="92"/>
        <v>12141.818181818177</v>
      </c>
      <c r="L836" s="15">
        <v>10.07</v>
      </c>
      <c r="M836" s="15"/>
      <c r="N836" s="16">
        <f t="shared" si="88"/>
        <v>181260</v>
      </c>
      <c r="O836" s="39">
        <f t="shared" si="91"/>
        <v>164781.81818181818</v>
      </c>
      <c r="P836" s="14">
        <f t="shared" si="93"/>
        <v>152640</v>
      </c>
    </row>
    <row r="837" spans="1:16" hidden="1" x14ac:dyDescent="0.3">
      <c r="A837" s="7">
        <v>45572</v>
      </c>
      <c r="B837" s="8" t="s">
        <v>43</v>
      </c>
      <c r="C837" s="9">
        <v>8.48</v>
      </c>
      <c r="D837" s="9">
        <v>10</v>
      </c>
      <c r="E837" s="21"/>
      <c r="F837" s="21"/>
      <c r="G837" s="20" t="s">
        <v>22</v>
      </c>
      <c r="H837" s="12">
        <v>9000</v>
      </c>
      <c r="I837" s="13">
        <v>5000</v>
      </c>
      <c r="J837" s="11"/>
      <c r="K837" s="14">
        <f t="shared" si="92"/>
        <v>-126320</v>
      </c>
      <c r="L837" s="15"/>
      <c r="M837" s="15"/>
      <c r="N837" s="16">
        <f t="shared" si="88"/>
        <v>0</v>
      </c>
      <c r="O837" s="39">
        <f t="shared" si="91"/>
        <v>0</v>
      </c>
      <c r="P837" s="14">
        <f t="shared" si="93"/>
        <v>126320</v>
      </c>
    </row>
    <row r="838" spans="1:16" x14ac:dyDescent="0.3">
      <c r="A838" s="7">
        <v>45573</v>
      </c>
      <c r="B838" s="8" t="s">
        <v>39</v>
      </c>
      <c r="C838" s="9">
        <v>8.3249999999999993</v>
      </c>
      <c r="D838" s="9">
        <v>10.08</v>
      </c>
      <c r="E838" s="10">
        <v>45000</v>
      </c>
      <c r="F838" s="10">
        <v>21000</v>
      </c>
      <c r="G838" s="20" t="s">
        <v>17</v>
      </c>
      <c r="H838" s="12">
        <v>17000</v>
      </c>
      <c r="I838" s="13">
        <v>16000</v>
      </c>
      <c r="J838" s="11"/>
      <c r="K838" s="14">
        <f t="shared" si="92"/>
        <v>4467.7272727272357</v>
      </c>
      <c r="L838" s="15">
        <v>9.1999999999999993</v>
      </c>
      <c r="M838" s="15">
        <v>11.35</v>
      </c>
      <c r="N838" s="16">
        <f t="shared" si="88"/>
        <v>338000</v>
      </c>
      <c r="O838" s="39">
        <f t="shared" si="91"/>
        <v>307272.72727272724</v>
      </c>
      <c r="P838" s="14">
        <f t="shared" si="93"/>
        <v>302805</v>
      </c>
    </row>
    <row r="839" spans="1:16" x14ac:dyDescent="0.3">
      <c r="A839" s="7">
        <v>45574</v>
      </c>
      <c r="B839" s="8" t="s">
        <v>39</v>
      </c>
      <c r="C839" s="9">
        <v>8.3249999999999993</v>
      </c>
      <c r="D839" s="9">
        <v>10.08</v>
      </c>
      <c r="E839" s="21"/>
      <c r="F839" s="21"/>
      <c r="G839" s="20" t="s">
        <v>17</v>
      </c>
      <c r="H839" s="12">
        <v>28000</v>
      </c>
      <c r="I839" s="13">
        <v>5000</v>
      </c>
      <c r="J839" s="11"/>
      <c r="K839" s="14">
        <f t="shared" si="92"/>
        <v>2272.7272727272357</v>
      </c>
      <c r="L839" s="15">
        <v>9.1999999999999993</v>
      </c>
      <c r="M839" s="15">
        <v>11.35</v>
      </c>
      <c r="N839" s="16">
        <f t="shared" si="88"/>
        <v>314350</v>
      </c>
      <c r="O839" s="39">
        <f t="shared" si="91"/>
        <v>285772.72727272724</v>
      </c>
      <c r="P839" s="14">
        <f t="shared" si="93"/>
        <v>283500</v>
      </c>
    </row>
    <row r="840" spans="1:16" x14ac:dyDescent="0.3">
      <c r="A840" s="7">
        <v>45574</v>
      </c>
      <c r="B840" s="8" t="s">
        <v>39</v>
      </c>
      <c r="C840" s="9">
        <v>8.3249999999999993</v>
      </c>
      <c r="D840" s="9">
        <v>10.08</v>
      </c>
      <c r="E840" s="10">
        <v>41000</v>
      </c>
      <c r="F840" s="10">
        <v>23000</v>
      </c>
      <c r="G840" s="20" t="s">
        <v>32</v>
      </c>
      <c r="H840" s="12">
        <v>25000</v>
      </c>
      <c r="I840" s="12">
        <v>6000</v>
      </c>
      <c r="J840" s="11"/>
      <c r="K840" s="14">
        <f t="shared" si="92"/>
        <v>4849.5454545454122</v>
      </c>
      <c r="L840" s="15">
        <v>9.1999999999999993</v>
      </c>
      <c r="M840" s="15">
        <v>11.8</v>
      </c>
      <c r="N840" s="16">
        <f t="shared" si="88"/>
        <v>300800</v>
      </c>
      <c r="O840" s="39">
        <f t="shared" si="91"/>
        <v>273454.54545454541</v>
      </c>
      <c r="P840" s="14">
        <f t="shared" si="93"/>
        <v>268605</v>
      </c>
    </row>
    <row r="841" spans="1:16" x14ac:dyDescent="0.3">
      <c r="A841" s="7">
        <v>45574</v>
      </c>
      <c r="B841" s="8" t="s">
        <v>39</v>
      </c>
      <c r="C841" s="9">
        <v>8.3249999999999993</v>
      </c>
      <c r="D841" s="9">
        <v>10.08</v>
      </c>
      <c r="E841" s="21"/>
      <c r="F841" s="21"/>
      <c r="G841" s="20" t="s">
        <v>17</v>
      </c>
      <c r="H841" s="12">
        <v>16000</v>
      </c>
      <c r="I841" s="12">
        <v>17000</v>
      </c>
      <c r="J841" s="11"/>
      <c r="K841" s="14">
        <f t="shared" si="92"/>
        <v>4667.2727272727061</v>
      </c>
      <c r="L841" s="15">
        <v>9.1999999999999993</v>
      </c>
      <c r="M841" s="15">
        <v>11.35</v>
      </c>
      <c r="N841" s="16">
        <f t="shared" si="88"/>
        <v>340150</v>
      </c>
      <c r="O841" s="39">
        <f t="shared" si="91"/>
        <v>309227.27272727271</v>
      </c>
      <c r="P841" s="14">
        <f t="shared" si="93"/>
        <v>304560</v>
      </c>
    </row>
    <row r="842" spans="1:16" x14ac:dyDescent="0.3">
      <c r="A842" s="7">
        <v>45574</v>
      </c>
      <c r="B842" s="8" t="s">
        <v>43</v>
      </c>
      <c r="C842" s="9">
        <v>8.48</v>
      </c>
      <c r="D842" s="9">
        <v>10</v>
      </c>
      <c r="E842" s="12">
        <v>26000</v>
      </c>
      <c r="F842" s="12">
        <v>6000</v>
      </c>
      <c r="G842" s="11" t="s">
        <v>28</v>
      </c>
      <c r="H842" s="12">
        <v>26000</v>
      </c>
      <c r="I842" s="13">
        <v>6000</v>
      </c>
      <c r="J842" s="31">
        <v>295745.45</v>
      </c>
      <c r="K842" s="14">
        <f t="shared" si="92"/>
        <v>46174.545454545412</v>
      </c>
      <c r="L842" s="15">
        <v>10.88</v>
      </c>
      <c r="M842" s="15">
        <v>12.74</v>
      </c>
      <c r="N842" s="16">
        <f>(H842*L842)+(I842*M842)</f>
        <v>359320</v>
      </c>
      <c r="O842" s="39">
        <f t="shared" si="91"/>
        <v>326654.54545454541</v>
      </c>
      <c r="P842" s="14">
        <f t="shared" si="93"/>
        <v>280480</v>
      </c>
    </row>
    <row r="843" spans="1:16" x14ac:dyDescent="0.3">
      <c r="A843" s="7">
        <v>45575</v>
      </c>
      <c r="B843" s="8" t="s">
        <v>39</v>
      </c>
      <c r="C843" s="9">
        <v>8.3249999999999993</v>
      </c>
      <c r="D843" s="9">
        <v>10.08</v>
      </c>
      <c r="E843" s="12">
        <v>33000</v>
      </c>
      <c r="F843" s="12"/>
      <c r="G843" s="20" t="s">
        <v>17</v>
      </c>
      <c r="H843" s="12">
        <v>33000</v>
      </c>
      <c r="I843" s="13"/>
      <c r="J843" s="31">
        <v>92727.27</v>
      </c>
      <c r="K843" s="14">
        <f t="shared" si="92"/>
        <v>1275</v>
      </c>
      <c r="L843" s="15">
        <v>9.1999999999999993</v>
      </c>
      <c r="M843" s="15">
        <v>11.35</v>
      </c>
      <c r="N843" s="16">
        <f>(H843*L843)+(I843*M843)</f>
        <v>303600</v>
      </c>
      <c r="O843" s="39">
        <f t="shared" si="91"/>
        <v>276000</v>
      </c>
      <c r="P843" s="14">
        <f t="shared" si="93"/>
        <v>274725</v>
      </c>
    </row>
    <row r="844" spans="1:16" x14ac:dyDescent="0.3">
      <c r="A844" s="7">
        <v>45575</v>
      </c>
      <c r="B844" s="8" t="s">
        <v>43</v>
      </c>
      <c r="C844" s="9">
        <v>8.48</v>
      </c>
      <c r="D844" s="9">
        <v>10</v>
      </c>
      <c r="E844" s="10">
        <v>36000</v>
      </c>
      <c r="F844" s="10">
        <v>13000</v>
      </c>
      <c r="G844" s="20" t="s">
        <v>23</v>
      </c>
      <c r="H844" s="12">
        <v>7000</v>
      </c>
      <c r="I844" s="13"/>
      <c r="J844" s="31">
        <v>-38472.730000000003</v>
      </c>
      <c r="K844" s="14">
        <f t="shared" si="92"/>
        <v>8667.2727272727207</v>
      </c>
      <c r="L844" s="15">
        <v>10.69</v>
      </c>
      <c r="M844" s="15"/>
      <c r="N844" s="16">
        <f t="shared" si="88"/>
        <v>74830</v>
      </c>
      <c r="O844" s="39">
        <f t="shared" si="91"/>
        <v>68027.272727272721</v>
      </c>
      <c r="P844" s="14">
        <f t="shared" si="93"/>
        <v>59360</v>
      </c>
    </row>
    <row r="845" spans="1:16" hidden="1" x14ac:dyDescent="0.3">
      <c r="A845" s="7">
        <v>45575</v>
      </c>
      <c r="B845" s="8" t="s">
        <v>43</v>
      </c>
      <c r="C845" s="9">
        <v>8.48</v>
      </c>
      <c r="D845" s="9">
        <v>10</v>
      </c>
      <c r="E845" s="19"/>
      <c r="F845" s="19"/>
      <c r="G845" s="20" t="s">
        <v>22</v>
      </c>
      <c r="H845" s="12">
        <v>3000</v>
      </c>
      <c r="I845" s="13">
        <v>7000</v>
      </c>
      <c r="J845" s="31">
        <v>32427.27</v>
      </c>
      <c r="K845" s="14">
        <f t="shared" si="92"/>
        <v>-95440</v>
      </c>
      <c r="L845" s="15"/>
      <c r="M845" s="15"/>
      <c r="N845" s="16">
        <f t="shared" si="88"/>
        <v>0</v>
      </c>
      <c r="O845" s="39">
        <f t="shared" si="91"/>
        <v>0</v>
      </c>
      <c r="P845" s="14">
        <f t="shared" si="93"/>
        <v>95440</v>
      </c>
    </row>
    <row r="846" spans="1:16" x14ac:dyDescent="0.3">
      <c r="A846" s="7">
        <v>45576</v>
      </c>
      <c r="B846" s="8" t="s">
        <v>43</v>
      </c>
      <c r="C846" s="9">
        <v>8.48</v>
      </c>
      <c r="D846" s="9">
        <v>10</v>
      </c>
      <c r="E846" s="21"/>
      <c r="F846" s="21"/>
      <c r="G846" s="11" t="s">
        <v>36</v>
      </c>
      <c r="H846" s="12">
        <v>26000</v>
      </c>
      <c r="I846" s="13">
        <v>6000</v>
      </c>
      <c r="J846" s="31">
        <v>4502.55</v>
      </c>
      <c r="K846" s="14">
        <f t="shared" si="92"/>
        <v>43247.272727272706</v>
      </c>
      <c r="L846" s="15">
        <v>10.8</v>
      </c>
      <c r="M846" s="15">
        <v>12.55</v>
      </c>
      <c r="N846" s="16">
        <f t="shared" si="88"/>
        <v>356100</v>
      </c>
      <c r="O846" s="39">
        <f t="shared" si="91"/>
        <v>323727.27272727271</v>
      </c>
      <c r="P846" s="14">
        <f t="shared" si="93"/>
        <v>280480</v>
      </c>
    </row>
    <row r="847" spans="1:16" x14ac:dyDescent="0.3">
      <c r="A847" s="7">
        <v>45576</v>
      </c>
      <c r="B847" s="8" t="s">
        <v>39</v>
      </c>
      <c r="C847" s="9">
        <v>8.3249999999999993</v>
      </c>
      <c r="D847" s="9">
        <v>10.08</v>
      </c>
      <c r="E847" s="10">
        <v>51000</v>
      </c>
      <c r="F847" s="10">
        <v>32000</v>
      </c>
      <c r="G847" s="20" t="s">
        <v>17</v>
      </c>
      <c r="H847" s="12">
        <v>17000</v>
      </c>
      <c r="I847" s="13">
        <v>16000</v>
      </c>
      <c r="J847" s="11"/>
      <c r="K847" s="14">
        <f t="shared" si="92"/>
        <v>4467.7272727272357</v>
      </c>
      <c r="L847" s="15">
        <v>9.1999999999999993</v>
      </c>
      <c r="M847" s="15">
        <v>11.35</v>
      </c>
      <c r="N847" s="16">
        <f t="shared" si="88"/>
        <v>338000</v>
      </c>
      <c r="O847" s="39">
        <f t="shared" si="91"/>
        <v>307272.72727272724</v>
      </c>
      <c r="P847" s="14">
        <f t="shared" si="93"/>
        <v>302805</v>
      </c>
    </row>
    <row r="848" spans="1:16" x14ac:dyDescent="0.3">
      <c r="A848" s="7">
        <v>45576</v>
      </c>
      <c r="B848" s="8" t="s">
        <v>39</v>
      </c>
      <c r="C848" s="9">
        <v>8.3249999999999993</v>
      </c>
      <c r="D848" s="9">
        <v>10.08</v>
      </c>
      <c r="E848" s="19"/>
      <c r="F848" s="19"/>
      <c r="G848" s="20" t="s">
        <v>17</v>
      </c>
      <c r="H848" s="12">
        <v>7000</v>
      </c>
      <c r="I848" s="13">
        <v>10000</v>
      </c>
      <c r="J848" s="11"/>
      <c r="K848" s="14">
        <f t="shared" si="92"/>
        <v>2652.2727272727061</v>
      </c>
      <c r="L848" s="15">
        <v>9.1999999999999993</v>
      </c>
      <c r="M848" s="15">
        <v>11.35</v>
      </c>
      <c r="N848" s="16">
        <f t="shared" si="88"/>
        <v>177900</v>
      </c>
      <c r="O848" s="39">
        <f t="shared" si="91"/>
        <v>161727.27272727271</v>
      </c>
      <c r="P848" s="14">
        <f t="shared" si="93"/>
        <v>159075</v>
      </c>
    </row>
    <row r="849" spans="1:16" x14ac:dyDescent="0.3">
      <c r="A849" s="7">
        <v>45577</v>
      </c>
      <c r="B849" s="8" t="s">
        <v>39</v>
      </c>
      <c r="C849" s="9">
        <v>8.3249999999999993</v>
      </c>
      <c r="D849" s="9">
        <v>10.08</v>
      </c>
      <c r="E849" s="21"/>
      <c r="F849" s="21"/>
      <c r="G849" s="20" t="s">
        <v>27</v>
      </c>
      <c r="H849" s="12">
        <v>27000</v>
      </c>
      <c r="I849" s="13">
        <v>6000</v>
      </c>
      <c r="J849" s="11"/>
      <c r="K849" s="14">
        <f t="shared" si="92"/>
        <v>40299.545454545412</v>
      </c>
      <c r="L849" s="15">
        <v>10.47</v>
      </c>
      <c r="M849" s="15">
        <v>12.57</v>
      </c>
      <c r="N849" s="16">
        <f t="shared" si="88"/>
        <v>358110</v>
      </c>
      <c r="O849" s="39">
        <f t="shared" si="91"/>
        <v>325554.54545454541</v>
      </c>
      <c r="P849" s="14">
        <f t="shared" si="93"/>
        <v>285255</v>
      </c>
    </row>
    <row r="850" spans="1:16" hidden="1" x14ac:dyDescent="0.3">
      <c r="A850" s="7">
        <v>45577</v>
      </c>
      <c r="B850" s="8" t="s">
        <v>39</v>
      </c>
      <c r="C850" s="9">
        <v>8.3249999999999993</v>
      </c>
      <c r="D850" s="9">
        <v>10.08</v>
      </c>
      <c r="E850" s="13">
        <v>33000</v>
      </c>
      <c r="F850" s="13"/>
      <c r="G850" s="20" t="s">
        <v>22</v>
      </c>
      <c r="H850" s="12">
        <v>33000</v>
      </c>
      <c r="I850" s="13"/>
      <c r="J850" s="11"/>
      <c r="K850" s="14">
        <f t="shared" si="92"/>
        <v>-274725</v>
      </c>
      <c r="L850" s="15"/>
      <c r="M850" s="15"/>
      <c r="N850" s="16">
        <f t="shared" si="88"/>
        <v>0</v>
      </c>
      <c r="O850" s="39">
        <f t="shared" si="91"/>
        <v>0</v>
      </c>
      <c r="P850" s="14">
        <f t="shared" si="93"/>
        <v>274725</v>
      </c>
    </row>
    <row r="851" spans="1:16" x14ac:dyDescent="0.3">
      <c r="A851" s="7">
        <v>45577</v>
      </c>
      <c r="B851" s="8" t="s">
        <v>19</v>
      </c>
      <c r="C851" s="9">
        <v>8.48</v>
      </c>
      <c r="D851" s="9">
        <v>10</v>
      </c>
      <c r="E851" s="12">
        <v>0</v>
      </c>
      <c r="F851" s="12">
        <v>4000</v>
      </c>
      <c r="G851" s="20" t="s">
        <v>17</v>
      </c>
      <c r="H851" s="12">
        <v>0</v>
      </c>
      <c r="I851" s="13">
        <v>4000</v>
      </c>
      <c r="J851" s="11"/>
      <c r="K851" s="14">
        <f t="shared" si="92"/>
        <v>1272.7272727272721</v>
      </c>
      <c r="L851" s="15">
        <v>9.1999999999999993</v>
      </c>
      <c r="M851" s="15">
        <v>11.35</v>
      </c>
      <c r="N851" s="16">
        <f t="shared" si="88"/>
        <v>45400</v>
      </c>
      <c r="O851" s="39">
        <f t="shared" si="91"/>
        <v>41272.727272727272</v>
      </c>
      <c r="P851" s="14">
        <f t="shared" si="93"/>
        <v>40000</v>
      </c>
    </row>
    <row r="852" spans="1:16" x14ac:dyDescent="0.3">
      <c r="A852" s="7">
        <v>45579</v>
      </c>
      <c r="B852" s="8" t="s">
        <v>43</v>
      </c>
      <c r="C852" s="9">
        <v>8.48</v>
      </c>
      <c r="D852" s="9">
        <v>10</v>
      </c>
      <c r="E852" s="10">
        <v>49000</v>
      </c>
      <c r="F852" s="10">
        <v>16000</v>
      </c>
      <c r="G852" s="20" t="s">
        <v>26</v>
      </c>
      <c r="H852" s="12">
        <v>27000</v>
      </c>
      <c r="I852" s="13">
        <v>6000</v>
      </c>
      <c r="J852" s="11"/>
      <c r="K852" s="14">
        <f t="shared" si="92"/>
        <v>54021.818181818177</v>
      </c>
      <c r="L852" s="15">
        <v>11.1</v>
      </c>
      <c r="M852" s="15">
        <v>12.93</v>
      </c>
      <c r="N852" s="16">
        <f t="shared" si="88"/>
        <v>377280</v>
      </c>
      <c r="O852" s="39">
        <f t="shared" si="91"/>
        <v>342981.81818181818</v>
      </c>
      <c r="P852" s="14">
        <f t="shared" si="93"/>
        <v>288960</v>
      </c>
    </row>
    <row r="853" spans="1:16" x14ac:dyDescent="0.3">
      <c r="A853" s="7">
        <v>45579</v>
      </c>
      <c r="B853" s="8" t="s">
        <v>43</v>
      </c>
      <c r="C853" s="9">
        <v>8.48</v>
      </c>
      <c r="D853" s="9">
        <v>10</v>
      </c>
      <c r="E853" s="21"/>
      <c r="F853" s="21"/>
      <c r="G853" s="20" t="s">
        <v>32</v>
      </c>
      <c r="H853" s="12">
        <v>22000</v>
      </c>
      <c r="I853" s="13">
        <v>10000</v>
      </c>
      <c r="J853" s="11"/>
      <c r="K853" s="14">
        <f t="shared" si="92"/>
        <v>8112.7272727272357</v>
      </c>
      <c r="L853" s="15">
        <v>9.3699999999999992</v>
      </c>
      <c r="M853" s="15">
        <v>11.8</v>
      </c>
      <c r="N853" s="16">
        <f>(H853*L853)+(I853*M853)</f>
        <v>324140</v>
      </c>
      <c r="O853" s="39">
        <f t="shared" si="91"/>
        <v>294672.72727272724</v>
      </c>
      <c r="P853" s="14">
        <f t="shared" si="93"/>
        <v>286560</v>
      </c>
    </row>
    <row r="854" spans="1:16" x14ac:dyDescent="0.3">
      <c r="A854" s="7">
        <v>45579</v>
      </c>
      <c r="B854" s="8" t="s">
        <v>39</v>
      </c>
      <c r="C854" s="9">
        <v>8.3249999999999993</v>
      </c>
      <c r="D854" s="9">
        <v>10.08</v>
      </c>
      <c r="E854" s="10">
        <v>28000</v>
      </c>
      <c r="F854" s="10">
        <v>22000</v>
      </c>
      <c r="G854" s="20" t="s">
        <v>17</v>
      </c>
      <c r="H854" s="12">
        <v>17000</v>
      </c>
      <c r="I854" s="13">
        <v>16000</v>
      </c>
      <c r="J854" s="11"/>
      <c r="K854" s="14">
        <f t="shared" si="92"/>
        <v>4467.7272727272357</v>
      </c>
      <c r="L854" s="15">
        <v>9.1999999999999993</v>
      </c>
      <c r="M854" s="15">
        <v>11.35</v>
      </c>
      <c r="N854" s="16">
        <f t="shared" si="88"/>
        <v>338000</v>
      </c>
      <c r="O854" s="39">
        <f t="shared" si="91"/>
        <v>307272.72727272724</v>
      </c>
      <c r="P854" s="14">
        <f t="shared" si="93"/>
        <v>302805</v>
      </c>
    </row>
    <row r="855" spans="1:16" x14ac:dyDescent="0.3">
      <c r="A855" s="7">
        <v>45579</v>
      </c>
      <c r="B855" s="8" t="s">
        <v>39</v>
      </c>
      <c r="C855" s="9">
        <v>8.3249999999999993</v>
      </c>
      <c r="D855" s="9">
        <v>10.08</v>
      </c>
      <c r="E855" s="21"/>
      <c r="F855" s="21"/>
      <c r="G855" s="20" t="s">
        <v>17</v>
      </c>
      <c r="H855" s="12">
        <v>11000</v>
      </c>
      <c r="I855" s="13">
        <v>6000</v>
      </c>
      <c r="J855" s="11"/>
      <c r="K855" s="14">
        <f t="shared" si="92"/>
        <v>1854.0909090908826</v>
      </c>
      <c r="L855" s="15">
        <v>9.1999999999999993</v>
      </c>
      <c r="M855" s="15">
        <v>11.35</v>
      </c>
      <c r="N855" s="16">
        <f t="shared" si="88"/>
        <v>169300</v>
      </c>
      <c r="O855" s="39">
        <f t="shared" si="91"/>
        <v>153909.09090909088</v>
      </c>
      <c r="P855" s="14">
        <f t="shared" si="93"/>
        <v>152055</v>
      </c>
    </row>
    <row r="856" spans="1:16" x14ac:dyDescent="0.3">
      <c r="A856" s="7">
        <v>45580</v>
      </c>
      <c r="B856" s="8" t="s">
        <v>43</v>
      </c>
      <c r="C856" s="9">
        <v>8.48</v>
      </c>
      <c r="D856" s="9">
        <v>10</v>
      </c>
      <c r="E856" s="10">
        <v>133000</v>
      </c>
      <c r="F856" s="10">
        <v>13000</v>
      </c>
      <c r="G856" s="20" t="s">
        <v>31</v>
      </c>
      <c r="H856" s="12">
        <v>33000</v>
      </c>
      <c r="I856" s="13"/>
      <c r="J856" s="11"/>
      <c r="K856" s="14">
        <f t="shared" si="92"/>
        <v>38160</v>
      </c>
      <c r="L856" s="15">
        <v>10.6</v>
      </c>
      <c r="M856" s="15"/>
      <c r="N856" s="16">
        <f t="shared" si="88"/>
        <v>349800</v>
      </c>
      <c r="O856" s="39">
        <f t="shared" si="91"/>
        <v>318000</v>
      </c>
      <c r="P856" s="14">
        <f t="shared" si="93"/>
        <v>279840</v>
      </c>
    </row>
    <row r="857" spans="1:16" x14ac:dyDescent="0.3">
      <c r="A857" s="7">
        <v>45580</v>
      </c>
      <c r="B857" s="8" t="s">
        <v>43</v>
      </c>
      <c r="C857" s="9">
        <v>8.48</v>
      </c>
      <c r="D857" s="9">
        <v>10</v>
      </c>
      <c r="E857" s="19"/>
      <c r="F857" s="19"/>
      <c r="G857" s="20" t="s">
        <v>23</v>
      </c>
      <c r="H857" s="12">
        <v>7000</v>
      </c>
      <c r="I857" s="13">
        <v>3000</v>
      </c>
      <c r="J857" s="11"/>
      <c r="K857" s="14">
        <f t="shared" si="92"/>
        <v>13576.363636363632</v>
      </c>
      <c r="L857" s="15">
        <v>10.69</v>
      </c>
      <c r="M857" s="15">
        <v>12.8</v>
      </c>
      <c r="N857" s="16">
        <f t="shared" si="88"/>
        <v>113230</v>
      </c>
      <c r="O857" s="39">
        <f t="shared" si="91"/>
        <v>102936.36363636363</v>
      </c>
      <c r="P857" s="14">
        <f t="shared" si="93"/>
        <v>89360</v>
      </c>
    </row>
    <row r="858" spans="1:16" hidden="1" x14ac:dyDescent="0.3">
      <c r="A858" s="7">
        <v>45580</v>
      </c>
      <c r="B858" s="8" t="s">
        <v>43</v>
      </c>
      <c r="C858" s="9">
        <v>8.48</v>
      </c>
      <c r="D858" s="9">
        <v>10</v>
      </c>
      <c r="E858" s="19"/>
      <c r="F858" s="19"/>
      <c r="G858" s="20" t="s">
        <v>22</v>
      </c>
      <c r="H858" s="12">
        <v>3000</v>
      </c>
      <c r="I858" s="13">
        <v>4000</v>
      </c>
      <c r="J858" s="11"/>
      <c r="K858" s="14">
        <f t="shared" si="92"/>
        <v>-65440</v>
      </c>
      <c r="L858" s="15"/>
      <c r="M858" s="15"/>
      <c r="N858" s="16">
        <f t="shared" si="88"/>
        <v>0</v>
      </c>
      <c r="O858" s="39">
        <f t="shared" si="91"/>
        <v>0</v>
      </c>
      <c r="P858" s="14">
        <f t="shared" si="93"/>
        <v>65440</v>
      </c>
    </row>
    <row r="859" spans="1:16" x14ac:dyDescent="0.3">
      <c r="A859" s="7">
        <v>45580</v>
      </c>
      <c r="B859" s="8" t="s">
        <v>43</v>
      </c>
      <c r="C859" s="9">
        <v>8.48</v>
      </c>
      <c r="D859" s="9">
        <v>10</v>
      </c>
      <c r="E859" s="19"/>
      <c r="F859" s="19"/>
      <c r="G859" s="20" t="s">
        <v>33</v>
      </c>
      <c r="H859" s="12">
        <v>27000</v>
      </c>
      <c r="I859" s="13">
        <v>6000</v>
      </c>
      <c r="J859" s="11"/>
      <c r="K859" s="14">
        <f t="shared" si="92"/>
        <v>2940</v>
      </c>
      <c r="L859" s="15">
        <v>9.3699999999999992</v>
      </c>
      <c r="M859" s="15">
        <v>11.35</v>
      </c>
      <c r="N859" s="16">
        <f t="shared" si="88"/>
        <v>321090</v>
      </c>
      <c r="O859" s="39">
        <f t="shared" si="91"/>
        <v>291900</v>
      </c>
      <c r="P859" s="14">
        <f t="shared" si="93"/>
        <v>288960</v>
      </c>
    </row>
    <row r="860" spans="1:16" x14ac:dyDescent="0.3">
      <c r="A860" s="7">
        <v>45580</v>
      </c>
      <c r="B860" s="8" t="s">
        <v>43</v>
      </c>
      <c r="C860" s="9">
        <v>8.48</v>
      </c>
      <c r="D860" s="9">
        <v>10</v>
      </c>
      <c r="E860" s="19"/>
      <c r="F860" s="19"/>
      <c r="G860" s="20" t="s">
        <v>33</v>
      </c>
      <c r="H860" s="12">
        <v>33000</v>
      </c>
      <c r="I860" s="13"/>
      <c r="J860" s="11"/>
      <c r="K860" s="14">
        <f t="shared" si="92"/>
        <v>1260</v>
      </c>
      <c r="L860" s="15">
        <v>9.3699999999999992</v>
      </c>
      <c r="M860" s="15">
        <v>11.35</v>
      </c>
      <c r="N860" s="16">
        <f t="shared" si="88"/>
        <v>309210</v>
      </c>
      <c r="O860" s="39">
        <f t="shared" si="91"/>
        <v>281100</v>
      </c>
      <c r="P860" s="14">
        <f t="shared" si="93"/>
        <v>279840</v>
      </c>
    </row>
    <row r="861" spans="1:16" x14ac:dyDescent="0.3">
      <c r="A861" s="7">
        <v>45580</v>
      </c>
      <c r="B861" s="8" t="s">
        <v>43</v>
      </c>
      <c r="C861" s="9">
        <v>8.48</v>
      </c>
      <c r="D861" s="9">
        <v>10</v>
      </c>
      <c r="E861" s="21"/>
      <c r="F861" s="21"/>
      <c r="G861" s="20" t="s">
        <v>33</v>
      </c>
      <c r="H861" s="12">
        <v>30000</v>
      </c>
      <c r="I861" s="13"/>
      <c r="J861" s="11"/>
      <c r="K861" s="14">
        <f t="shared" si="92"/>
        <v>1145.4545454545296</v>
      </c>
      <c r="L861" s="15">
        <v>9.3699999999999992</v>
      </c>
      <c r="M861" s="15">
        <v>11.35</v>
      </c>
      <c r="N861" s="16">
        <f t="shared" ref="N861:N917" si="94">(H861*L861)+(I861*M861)</f>
        <v>281100</v>
      </c>
      <c r="O861" s="39">
        <f t="shared" si="91"/>
        <v>255545.45454545453</v>
      </c>
      <c r="P861" s="14">
        <f t="shared" si="93"/>
        <v>254400</v>
      </c>
    </row>
    <row r="862" spans="1:16" x14ac:dyDescent="0.3">
      <c r="A862" s="7">
        <v>45580</v>
      </c>
      <c r="B862" s="8" t="s">
        <v>39</v>
      </c>
      <c r="C862" s="9">
        <v>8.3249999999999993</v>
      </c>
      <c r="D862" s="9">
        <v>10.08</v>
      </c>
      <c r="E862" s="10">
        <v>66000</v>
      </c>
      <c r="F862" s="12"/>
      <c r="G862" s="20" t="s">
        <v>17</v>
      </c>
      <c r="H862" s="12">
        <v>33000</v>
      </c>
      <c r="I862" s="13"/>
      <c r="J862" s="11"/>
      <c r="K862" s="14">
        <f t="shared" si="92"/>
        <v>1275</v>
      </c>
      <c r="L862" s="15">
        <v>9.1999999999999993</v>
      </c>
      <c r="M862" s="15"/>
      <c r="N862" s="16">
        <f t="shared" si="94"/>
        <v>303600</v>
      </c>
      <c r="O862" s="39">
        <f t="shared" si="91"/>
        <v>276000</v>
      </c>
      <c r="P862" s="14">
        <f t="shared" si="93"/>
        <v>274725</v>
      </c>
    </row>
    <row r="863" spans="1:16" x14ac:dyDescent="0.3">
      <c r="A863" s="7">
        <v>45580</v>
      </c>
      <c r="B863" s="8" t="s">
        <v>39</v>
      </c>
      <c r="C863" s="9">
        <v>8.3249999999999993</v>
      </c>
      <c r="D863" s="9">
        <v>10.08</v>
      </c>
      <c r="E863" s="21"/>
      <c r="F863" s="12"/>
      <c r="G863" s="20" t="s">
        <v>17</v>
      </c>
      <c r="H863" s="12">
        <v>33000</v>
      </c>
      <c r="I863" s="13"/>
      <c r="J863" s="11"/>
      <c r="K863" s="14">
        <f t="shared" si="92"/>
        <v>1275</v>
      </c>
      <c r="L863" s="15">
        <v>9.1999999999999993</v>
      </c>
      <c r="M863" s="15"/>
      <c r="N863" s="16">
        <f t="shared" si="94"/>
        <v>303600</v>
      </c>
      <c r="O863" s="39">
        <f t="shared" si="91"/>
        <v>276000</v>
      </c>
      <c r="P863" s="14">
        <f t="shared" si="93"/>
        <v>274725</v>
      </c>
    </row>
    <row r="864" spans="1:16" x14ac:dyDescent="0.3">
      <c r="A864" s="7">
        <v>45582</v>
      </c>
      <c r="B864" s="8" t="s">
        <v>43</v>
      </c>
      <c r="C864" s="9">
        <v>8.3879999999999999</v>
      </c>
      <c r="D864" s="9">
        <v>9.8140000000000001</v>
      </c>
      <c r="E864" s="10">
        <v>267000</v>
      </c>
      <c r="F864" s="10">
        <v>11000</v>
      </c>
      <c r="G864" s="20" t="s">
        <v>32</v>
      </c>
      <c r="H864" s="12">
        <v>29000</v>
      </c>
      <c r="I864" s="13">
        <v>3000</v>
      </c>
      <c r="J864" s="11"/>
      <c r="K864" s="14">
        <f t="shared" si="92"/>
        <v>6787.8181818181765</v>
      </c>
      <c r="L864" s="15">
        <v>9.3699999999999992</v>
      </c>
      <c r="M864" s="15">
        <v>11.9</v>
      </c>
      <c r="N864" s="16">
        <f t="shared" si="94"/>
        <v>307430</v>
      </c>
      <c r="O864" s="39">
        <f t="shared" si="91"/>
        <v>279481.81818181818</v>
      </c>
      <c r="P864" s="14">
        <f t="shared" si="93"/>
        <v>272694</v>
      </c>
    </row>
    <row r="865" spans="1:16" x14ac:dyDescent="0.3">
      <c r="A865" s="7">
        <v>45582</v>
      </c>
      <c r="B865" s="8" t="s">
        <v>43</v>
      </c>
      <c r="C865" s="9">
        <v>8.3879999999999999</v>
      </c>
      <c r="D865" s="9">
        <v>9.8140000000000001</v>
      </c>
      <c r="E865" s="19"/>
      <c r="F865" s="19"/>
      <c r="G865" s="20" t="s">
        <v>32</v>
      </c>
      <c r="H865" s="12">
        <v>31000</v>
      </c>
      <c r="I865" s="13"/>
      <c r="J865" s="11"/>
      <c r="K865" s="14">
        <f t="shared" si="92"/>
        <v>4035.6363636363531</v>
      </c>
      <c r="L865" s="15">
        <v>9.3699999999999992</v>
      </c>
      <c r="M865" s="15">
        <v>11.9</v>
      </c>
      <c r="N865" s="16">
        <f t="shared" si="94"/>
        <v>290470</v>
      </c>
      <c r="O865" s="39">
        <f t="shared" si="91"/>
        <v>264063.63636363635</v>
      </c>
      <c r="P865" s="14">
        <f t="shared" si="93"/>
        <v>260028</v>
      </c>
    </row>
    <row r="866" spans="1:16" x14ac:dyDescent="0.3">
      <c r="A866" s="7">
        <v>45582</v>
      </c>
      <c r="B866" s="8" t="s">
        <v>43</v>
      </c>
      <c r="C866" s="9">
        <v>8.3879999999999999</v>
      </c>
      <c r="D866" s="9">
        <v>9.8140000000000001</v>
      </c>
      <c r="E866" s="19"/>
      <c r="F866" s="19"/>
      <c r="G866" s="20" t="s">
        <v>17</v>
      </c>
      <c r="H866" s="12">
        <v>33000</v>
      </c>
      <c r="I866" s="13"/>
      <c r="J866" s="11"/>
      <c r="K866" s="14">
        <f t="shared" si="92"/>
        <v>4296</v>
      </c>
      <c r="L866" s="15">
        <v>9.3699999999999992</v>
      </c>
      <c r="M866" s="15">
        <v>11.35</v>
      </c>
      <c r="N866" s="16">
        <f t="shared" si="94"/>
        <v>309210</v>
      </c>
      <c r="O866" s="39">
        <f t="shared" si="91"/>
        <v>281100</v>
      </c>
      <c r="P866" s="14">
        <f t="shared" si="93"/>
        <v>276804</v>
      </c>
    </row>
    <row r="867" spans="1:16" x14ac:dyDescent="0.3">
      <c r="A867" s="7">
        <v>45582</v>
      </c>
      <c r="B867" s="8" t="s">
        <v>43</v>
      </c>
      <c r="C867" s="9">
        <v>8.3879999999999999</v>
      </c>
      <c r="D867" s="9">
        <v>9.8140000000000001</v>
      </c>
      <c r="E867" s="19"/>
      <c r="F867" s="19"/>
      <c r="G867" s="20" t="s">
        <v>17</v>
      </c>
      <c r="H867" s="12">
        <v>33000</v>
      </c>
      <c r="I867" s="13"/>
      <c r="J867" s="11"/>
      <c r="K867" s="14">
        <f t="shared" si="92"/>
        <v>4296</v>
      </c>
      <c r="L867" s="15">
        <v>9.3699999999999992</v>
      </c>
      <c r="M867" s="15">
        <v>11.35</v>
      </c>
      <c r="N867" s="16">
        <f t="shared" si="94"/>
        <v>309210</v>
      </c>
      <c r="O867" s="39">
        <f t="shared" si="91"/>
        <v>281100</v>
      </c>
      <c r="P867" s="14">
        <f t="shared" si="93"/>
        <v>276804</v>
      </c>
    </row>
    <row r="868" spans="1:16" x14ac:dyDescent="0.3">
      <c r="A868" s="7">
        <v>45582</v>
      </c>
      <c r="B868" s="8" t="s">
        <v>43</v>
      </c>
      <c r="C868" s="9">
        <v>8.3879999999999999</v>
      </c>
      <c r="D868" s="9">
        <v>9.8140000000000001</v>
      </c>
      <c r="E868" s="19"/>
      <c r="F868" s="19"/>
      <c r="G868" s="20" t="s">
        <v>17</v>
      </c>
      <c r="H868" s="12">
        <v>17000</v>
      </c>
      <c r="I868" s="13"/>
      <c r="J868" s="11"/>
      <c r="K868" s="14">
        <f t="shared" si="92"/>
        <v>2213.0909090909117</v>
      </c>
      <c r="L868" s="15">
        <v>9.3699999999999992</v>
      </c>
      <c r="M868" s="15">
        <v>11.35</v>
      </c>
      <c r="N868" s="16">
        <f t="shared" si="94"/>
        <v>159290</v>
      </c>
      <c r="O868" s="39">
        <f t="shared" si="91"/>
        <v>144809.09090909091</v>
      </c>
      <c r="P868" s="14">
        <f t="shared" si="93"/>
        <v>142596</v>
      </c>
    </row>
    <row r="869" spans="1:16" x14ac:dyDescent="0.3">
      <c r="A869" s="7">
        <v>45582</v>
      </c>
      <c r="B869" s="8" t="s">
        <v>43</v>
      </c>
      <c r="C869" s="9">
        <v>8.3879999999999999</v>
      </c>
      <c r="D869" s="9">
        <v>9.8140000000000001</v>
      </c>
      <c r="E869" s="19"/>
      <c r="F869" s="19"/>
      <c r="G869" s="20" t="s">
        <v>17</v>
      </c>
      <c r="H869" s="12">
        <v>33000</v>
      </c>
      <c r="I869" s="13"/>
      <c r="J869" s="11"/>
      <c r="K869" s="14">
        <f t="shared" si="92"/>
        <v>4296</v>
      </c>
      <c r="L869" s="15">
        <v>9.3699999999999992</v>
      </c>
      <c r="M869" s="15">
        <v>11.35</v>
      </c>
      <c r="N869" s="16">
        <f t="shared" si="94"/>
        <v>309210</v>
      </c>
      <c r="O869" s="39">
        <f t="shared" si="91"/>
        <v>281100</v>
      </c>
      <c r="P869" s="14">
        <f t="shared" si="93"/>
        <v>276804</v>
      </c>
    </row>
    <row r="870" spans="1:16" x14ac:dyDescent="0.3">
      <c r="A870" s="7">
        <v>45582</v>
      </c>
      <c r="B870" s="8" t="s">
        <v>43</v>
      </c>
      <c r="C870" s="9">
        <v>8.3879999999999999</v>
      </c>
      <c r="D870" s="9">
        <v>9.8140000000000001</v>
      </c>
      <c r="E870" s="19"/>
      <c r="F870" s="19"/>
      <c r="G870" s="20" t="s">
        <v>17</v>
      </c>
      <c r="H870" s="12">
        <v>25000</v>
      </c>
      <c r="I870" s="13">
        <v>8000</v>
      </c>
      <c r="J870" s="11"/>
      <c r="K870" s="14">
        <f>O870-P870</f>
        <v>7288</v>
      </c>
      <c r="L870" s="15">
        <v>9.3699999999999992</v>
      </c>
      <c r="M870" s="15">
        <v>11.35</v>
      </c>
      <c r="N870" s="16">
        <f>(H870*L870+(I870*M870))</f>
        <v>325050</v>
      </c>
      <c r="O870" s="17">
        <f t="shared" si="91"/>
        <v>295500</v>
      </c>
      <c r="P870" s="18">
        <f t="shared" si="93"/>
        <v>288212</v>
      </c>
    </row>
    <row r="871" spans="1:16" x14ac:dyDescent="0.3">
      <c r="A871" s="7">
        <v>45582</v>
      </c>
      <c r="B871" s="8" t="s">
        <v>43</v>
      </c>
      <c r="C871" s="9">
        <v>8.3879999999999999</v>
      </c>
      <c r="D871" s="9">
        <v>9.8140000000000001</v>
      </c>
      <c r="E871" s="19"/>
      <c r="F871" s="19"/>
      <c r="G871" s="20" t="s">
        <v>17</v>
      </c>
      <c r="H871" s="12">
        <v>33000</v>
      </c>
      <c r="I871" s="13"/>
      <c r="J871" s="11"/>
      <c r="K871" s="14">
        <f t="shared" si="92"/>
        <v>4296</v>
      </c>
      <c r="L871" s="15">
        <v>9.3699999999999992</v>
      </c>
      <c r="M871" s="15">
        <v>11.35</v>
      </c>
      <c r="N871" s="16">
        <f t="shared" si="94"/>
        <v>309210</v>
      </c>
      <c r="O871" s="17">
        <f t="shared" si="91"/>
        <v>281100</v>
      </c>
      <c r="P871" s="18">
        <f t="shared" si="93"/>
        <v>276804</v>
      </c>
    </row>
    <row r="872" spans="1:16" x14ac:dyDescent="0.3">
      <c r="A872" s="7">
        <v>45582</v>
      </c>
      <c r="B872" s="8" t="s">
        <v>43</v>
      </c>
      <c r="C872" s="9">
        <v>8.3879999999999999</v>
      </c>
      <c r="D872" s="9">
        <v>9.8140000000000001</v>
      </c>
      <c r="E872" s="21"/>
      <c r="F872" s="21"/>
      <c r="G872" s="20" t="s">
        <v>17</v>
      </c>
      <c r="H872" s="12">
        <v>33000</v>
      </c>
      <c r="I872" s="13"/>
      <c r="J872" s="11"/>
      <c r="K872" s="14">
        <f t="shared" si="92"/>
        <v>4296</v>
      </c>
      <c r="L872" s="15">
        <v>9.3699999999999992</v>
      </c>
      <c r="M872" s="15">
        <v>11.35</v>
      </c>
      <c r="N872" s="16">
        <f t="shared" si="94"/>
        <v>309210</v>
      </c>
      <c r="O872" s="17">
        <f t="shared" si="91"/>
        <v>281100</v>
      </c>
      <c r="P872" s="18">
        <f t="shared" si="93"/>
        <v>276804</v>
      </c>
    </row>
    <row r="873" spans="1:16" x14ac:dyDescent="0.3">
      <c r="A873" s="7">
        <v>45583</v>
      </c>
      <c r="B873" s="8" t="s">
        <v>43</v>
      </c>
      <c r="C873" s="9">
        <v>8.3879999999999999</v>
      </c>
      <c r="D873" s="9">
        <v>9.8140000000000001</v>
      </c>
      <c r="E873" s="10">
        <v>131000</v>
      </c>
      <c r="F873" s="12"/>
      <c r="G873" s="20" t="s">
        <v>32</v>
      </c>
      <c r="H873" s="12">
        <v>32000</v>
      </c>
      <c r="I873" s="13"/>
      <c r="J873" s="11"/>
      <c r="K873" s="14">
        <f t="shared" si="92"/>
        <v>4165.8181818181765</v>
      </c>
      <c r="L873" s="15">
        <v>9.3699999999999992</v>
      </c>
      <c r="M873" s="15">
        <v>11.9</v>
      </c>
      <c r="N873" s="16">
        <f t="shared" si="94"/>
        <v>299840</v>
      </c>
      <c r="O873" s="17">
        <f t="shared" si="91"/>
        <v>272581.81818181818</v>
      </c>
      <c r="P873" s="18">
        <f t="shared" si="93"/>
        <v>268416</v>
      </c>
    </row>
    <row r="874" spans="1:16" x14ac:dyDescent="0.3">
      <c r="A874" s="7">
        <v>45583</v>
      </c>
      <c r="B874" s="8" t="s">
        <v>43</v>
      </c>
      <c r="C874" s="9">
        <v>8.3879999999999999</v>
      </c>
      <c r="D874" s="9">
        <v>9.8140000000000001</v>
      </c>
      <c r="E874" s="19"/>
      <c r="F874" s="12"/>
      <c r="G874" s="20" t="s">
        <v>17</v>
      </c>
      <c r="H874" s="12">
        <v>33000</v>
      </c>
      <c r="I874" s="13"/>
      <c r="J874" s="11"/>
      <c r="K874" s="14">
        <f t="shared" si="92"/>
        <v>4296</v>
      </c>
      <c r="L874" s="15">
        <v>9.3699999999999992</v>
      </c>
      <c r="M874" s="15">
        <v>11.35</v>
      </c>
      <c r="N874" s="16">
        <f t="shared" si="94"/>
        <v>309210</v>
      </c>
      <c r="O874" s="17">
        <f t="shared" si="91"/>
        <v>281100</v>
      </c>
      <c r="P874" s="18">
        <f t="shared" si="93"/>
        <v>276804</v>
      </c>
    </row>
    <row r="875" spans="1:16" x14ac:dyDescent="0.3">
      <c r="A875" s="7">
        <v>45583</v>
      </c>
      <c r="B875" s="8" t="s">
        <v>43</v>
      </c>
      <c r="C875" s="9">
        <v>8.3879999999999999</v>
      </c>
      <c r="D875" s="9">
        <v>9.8140000000000001</v>
      </c>
      <c r="E875" s="19"/>
      <c r="F875" s="12"/>
      <c r="G875" s="20" t="s">
        <v>17</v>
      </c>
      <c r="H875" s="12">
        <v>33000</v>
      </c>
      <c r="I875" s="13"/>
      <c r="J875" s="11"/>
      <c r="K875" s="14">
        <f t="shared" si="92"/>
        <v>4296</v>
      </c>
      <c r="L875" s="15">
        <v>9.3699999999999992</v>
      </c>
      <c r="M875" s="15">
        <v>11.35</v>
      </c>
      <c r="N875" s="16">
        <f t="shared" si="94"/>
        <v>309210</v>
      </c>
      <c r="O875" s="17">
        <f>N875/1.1</f>
        <v>281100</v>
      </c>
      <c r="P875" s="18">
        <f t="shared" si="93"/>
        <v>276804</v>
      </c>
    </row>
    <row r="876" spans="1:16" x14ac:dyDescent="0.3">
      <c r="A876" s="7">
        <v>45583</v>
      </c>
      <c r="B876" s="8" t="s">
        <v>43</v>
      </c>
      <c r="C876" s="9">
        <v>8.3879999999999999</v>
      </c>
      <c r="D876" s="9">
        <v>9.8140000000000001</v>
      </c>
      <c r="E876" s="21"/>
      <c r="F876" s="12"/>
      <c r="G876" s="20" t="s">
        <v>32</v>
      </c>
      <c r="H876" s="12">
        <v>33000</v>
      </c>
      <c r="I876" s="13"/>
      <c r="J876" s="11"/>
      <c r="K876" s="14">
        <f t="shared" si="92"/>
        <v>4296</v>
      </c>
      <c r="L876" s="15">
        <v>9.3699999999999992</v>
      </c>
      <c r="M876" s="15">
        <v>11.9</v>
      </c>
      <c r="N876" s="16">
        <f t="shared" si="94"/>
        <v>309210</v>
      </c>
      <c r="O876" s="17">
        <f t="shared" si="91"/>
        <v>281100</v>
      </c>
      <c r="P876" s="18">
        <f t="shared" si="93"/>
        <v>276804</v>
      </c>
    </row>
    <row r="877" spans="1:16" x14ac:dyDescent="0.3">
      <c r="A877" s="7">
        <v>45584</v>
      </c>
      <c r="B877" s="8" t="s">
        <v>43</v>
      </c>
      <c r="C877" s="9">
        <v>8.3879999999999999</v>
      </c>
      <c r="D877" s="9">
        <v>9.8140000000000001</v>
      </c>
      <c r="E877" s="10">
        <v>132000</v>
      </c>
      <c r="F877" s="10">
        <v>5000</v>
      </c>
      <c r="G877" s="20" t="s">
        <v>17</v>
      </c>
      <c r="H877" s="12">
        <v>33000</v>
      </c>
      <c r="I877" s="13"/>
      <c r="J877" s="11"/>
      <c r="K877" s="14">
        <f t="shared" si="92"/>
        <v>4296</v>
      </c>
      <c r="L877" s="15">
        <v>9.3699999999999992</v>
      </c>
      <c r="M877" s="15">
        <v>11.35</v>
      </c>
      <c r="N877" s="16">
        <f t="shared" si="94"/>
        <v>309210</v>
      </c>
      <c r="O877" s="17">
        <f t="shared" si="91"/>
        <v>281100</v>
      </c>
      <c r="P877" s="18">
        <f t="shared" si="93"/>
        <v>276804</v>
      </c>
    </row>
    <row r="878" spans="1:16" x14ac:dyDescent="0.3">
      <c r="A878" s="7">
        <v>45584</v>
      </c>
      <c r="B878" s="8" t="s">
        <v>43</v>
      </c>
      <c r="C878" s="9">
        <v>8.3879999999999999</v>
      </c>
      <c r="D878" s="9">
        <v>9.8140000000000001</v>
      </c>
      <c r="E878" s="19"/>
      <c r="F878" s="19"/>
      <c r="G878" s="20" t="s">
        <v>17</v>
      </c>
      <c r="H878" s="12">
        <v>33000</v>
      </c>
      <c r="I878" s="13"/>
      <c r="J878" s="11"/>
      <c r="K878" s="14">
        <f t="shared" si="92"/>
        <v>4296</v>
      </c>
      <c r="L878" s="15">
        <v>9.3699999999999992</v>
      </c>
      <c r="M878" s="15">
        <v>11.35</v>
      </c>
      <c r="N878" s="16">
        <f t="shared" si="94"/>
        <v>309210</v>
      </c>
      <c r="O878" s="17">
        <f t="shared" si="91"/>
        <v>281100</v>
      </c>
      <c r="P878" s="18">
        <f t="shared" si="93"/>
        <v>276804</v>
      </c>
    </row>
    <row r="879" spans="1:16" hidden="1" x14ac:dyDescent="0.3">
      <c r="A879" s="7">
        <v>45584</v>
      </c>
      <c r="B879" s="8" t="s">
        <v>43</v>
      </c>
      <c r="C879" s="9">
        <v>8.3879999999999999</v>
      </c>
      <c r="D879" s="9">
        <v>9.8140000000000001</v>
      </c>
      <c r="E879" s="19"/>
      <c r="F879" s="19"/>
      <c r="G879" s="20" t="s">
        <v>22</v>
      </c>
      <c r="H879" s="12">
        <v>2000</v>
      </c>
      <c r="I879" s="13"/>
      <c r="J879" s="11"/>
      <c r="K879" s="29">
        <f>O879-P879</f>
        <v>-16776</v>
      </c>
      <c r="L879" s="15"/>
      <c r="M879" s="15"/>
      <c r="N879" s="16">
        <f t="shared" si="94"/>
        <v>0</v>
      </c>
      <c r="O879" s="17">
        <f t="shared" si="91"/>
        <v>0</v>
      </c>
      <c r="P879" s="18">
        <f t="shared" si="93"/>
        <v>16776</v>
      </c>
    </row>
    <row r="880" spans="1:16" x14ac:dyDescent="0.3">
      <c r="A880" s="7">
        <v>45584</v>
      </c>
      <c r="B880" s="8" t="s">
        <v>43</v>
      </c>
      <c r="C880" s="9">
        <v>8.3879999999999999</v>
      </c>
      <c r="D880" s="9">
        <v>9.8140000000000001</v>
      </c>
      <c r="E880" s="19"/>
      <c r="F880" s="19"/>
      <c r="G880" s="20" t="s">
        <v>27</v>
      </c>
      <c r="H880" s="12">
        <v>31000</v>
      </c>
      <c r="I880" s="13"/>
      <c r="J880" s="11"/>
      <c r="K880" s="14">
        <f t="shared" si="92"/>
        <v>35035.636363636353</v>
      </c>
      <c r="L880" s="15">
        <v>10.47</v>
      </c>
      <c r="M880" s="15">
        <v>12.57</v>
      </c>
      <c r="N880" s="16">
        <f t="shared" si="94"/>
        <v>324570</v>
      </c>
      <c r="O880" s="17">
        <f t="shared" si="91"/>
        <v>295063.63636363635</v>
      </c>
      <c r="P880" s="18">
        <f t="shared" si="93"/>
        <v>260028</v>
      </c>
    </row>
    <row r="881" spans="1:16" x14ac:dyDescent="0.3">
      <c r="A881" s="7">
        <v>45584</v>
      </c>
      <c r="B881" s="8" t="s">
        <v>19</v>
      </c>
      <c r="C881" s="9">
        <v>8.3879999999999999</v>
      </c>
      <c r="D881" s="9">
        <v>9.8140000000000001</v>
      </c>
      <c r="E881" s="19"/>
      <c r="F881" s="19"/>
      <c r="G881" s="20" t="s">
        <v>27</v>
      </c>
      <c r="H881" s="13">
        <v>0</v>
      </c>
      <c r="I881" s="13">
        <v>2000</v>
      </c>
      <c r="J881" s="11"/>
      <c r="K881" s="14">
        <f t="shared" si="92"/>
        <v>3226.5454545454522</v>
      </c>
      <c r="L881" s="15">
        <v>10.47</v>
      </c>
      <c r="M881" s="15">
        <v>12.57</v>
      </c>
      <c r="N881" s="16">
        <f t="shared" si="94"/>
        <v>25140</v>
      </c>
      <c r="O881" s="17">
        <f t="shared" si="91"/>
        <v>22854.545454545452</v>
      </c>
      <c r="P881" s="18">
        <f t="shared" si="93"/>
        <v>19628</v>
      </c>
    </row>
    <row r="882" spans="1:16" hidden="1" x14ac:dyDescent="0.3">
      <c r="A882" s="7">
        <v>45584</v>
      </c>
      <c r="B882" s="8" t="s">
        <v>43</v>
      </c>
      <c r="C882" s="9">
        <v>8.3879999999999999</v>
      </c>
      <c r="D882" s="9">
        <v>9.8140000000000001</v>
      </c>
      <c r="E882" s="19"/>
      <c r="F882" s="19"/>
      <c r="G882" s="20" t="s">
        <v>22</v>
      </c>
      <c r="H882" s="13">
        <v>3000</v>
      </c>
      <c r="I882" s="13"/>
      <c r="J882" s="11"/>
      <c r="K882" s="14">
        <f t="shared" si="92"/>
        <v>-25164</v>
      </c>
      <c r="L882" s="15"/>
      <c r="M882" s="15"/>
      <c r="N882" s="16">
        <f t="shared" si="94"/>
        <v>0</v>
      </c>
      <c r="O882" s="17">
        <f t="shared" si="91"/>
        <v>0</v>
      </c>
      <c r="P882" s="18">
        <f t="shared" si="93"/>
        <v>25164</v>
      </c>
    </row>
    <row r="883" spans="1:16" x14ac:dyDescent="0.3">
      <c r="A883" s="7">
        <v>45584</v>
      </c>
      <c r="B883" s="8" t="s">
        <v>43</v>
      </c>
      <c r="C883" s="9">
        <v>8.3879999999999999</v>
      </c>
      <c r="D883" s="9">
        <v>9.8140000000000001</v>
      </c>
      <c r="E883" s="19"/>
      <c r="F883" s="19"/>
      <c r="G883" s="20" t="s">
        <v>21</v>
      </c>
      <c r="H883" s="13">
        <v>30000</v>
      </c>
      <c r="I883" s="13"/>
      <c r="J883" s="11"/>
      <c r="K883" s="14">
        <f t="shared" si="92"/>
        <v>44814.545454545412</v>
      </c>
      <c r="L883" s="15">
        <v>10.87</v>
      </c>
      <c r="M883" s="15">
        <v>12.83</v>
      </c>
      <c r="N883" s="16">
        <f t="shared" si="94"/>
        <v>326100</v>
      </c>
      <c r="O883" s="17">
        <f t="shared" ref="O883:O917" si="95">N883/1.1</f>
        <v>296454.54545454541</v>
      </c>
      <c r="P883" s="18">
        <f t="shared" si="93"/>
        <v>251640</v>
      </c>
    </row>
    <row r="884" spans="1:16" x14ac:dyDescent="0.3">
      <c r="A884" s="7">
        <v>45584</v>
      </c>
      <c r="B884" s="8" t="s">
        <v>19</v>
      </c>
      <c r="C884" s="9">
        <v>8.3879999999999999</v>
      </c>
      <c r="D884" s="9">
        <v>9.8140000000000001</v>
      </c>
      <c r="E884" s="21"/>
      <c r="F884" s="21"/>
      <c r="G884" s="20" t="s">
        <v>21</v>
      </c>
      <c r="H884" s="13"/>
      <c r="I884" s="13">
        <v>3000</v>
      </c>
      <c r="J884" s="11"/>
      <c r="K884" s="14">
        <f t="shared" ref="K884:K897" si="96">O884-P884</f>
        <v>5548.9090909090883</v>
      </c>
      <c r="L884" s="15">
        <v>10.87</v>
      </c>
      <c r="M884" s="15">
        <v>12.83</v>
      </c>
      <c r="N884" s="16">
        <f t="shared" si="94"/>
        <v>38490</v>
      </c>
      <c r="O884" s="17">
        <f t="shared" si="95"/>
        <v>34990.909090909088</v>
      </c>
      <c r="P884" s="18">
        <f t="shared" si="93"/>
        <v>29442</v>
      </c>
    </row>
    <row r="885" spans="1:16" x14ac:dyDescent="0.3">
      <c r="A885" s="7">
        <v>45586</v>
      </c>
      <c r="B885" s="8" t="s">
        <v>43</v>
      </c>
      <c r="C885" s="9">
        <v>8.3879999999999999</v>
      </c>
      <c r="D885" s="9">
        <v>9.8140000000000001</v>
      </c>
      <c r="E885" s="10">
        <v>112000</v>
      </c>
      <c r="F885" s="10">
        <v>4000</v>
      </c>
      <c r="G885" s="20" t="s">
        <v>32</v>
      </c>
      <c r="H885" s="12">
        <v>33000</v>
      </c>
      <c r="I885" s="13"/>
      <c r="J885" s="11"/>
      <c r="K885" s="14">
        <f t="shared" si="96"/>
        <v>4296</v>
      </c>
      <c r="L885" s="15">
        <v>9.3699999999999992</v>
      </c>
      <c r="M885" s="15">
        <v>11.9</v>
      </c>
      <c r="N885" s="16">
        <f t="shared" si="94"/>
        <v>309210</v>
      </c>
      <c r="O885" s="17">
        <f t="shared" si="95"/>
        <v>281100</v>
      </c>
      <c r="P885" s="18">
        <f t="shared" si="93"/>
        <v>276804</v>
      </c>
    </row>
    <row r="886" spans="1:16" x14ac:dyDescent="0.3">
      <c r="A886" s="7">
        <v>45586</v>
      </c>
      <c r="B886" s="8" t="s">
        <v>43</v>
      </c>
      <c r="C886" s="9">
        <v>8.3879999999999999</v>
      </c>
      <c r="D886" s="9">
        <v>9.8140000000000001</v>
      </c>
      <c r="E886" s="19"/>
      <c r="F886" s="19"/>
      <c r="G886" s="20" t="s">
        <v>17</v>
      </c>
      <c r="H886" s="12">
        <v>33000</v>
      </c>
      <c r="I886" s="13"/>
      <c r="J886" s="11"/>
      <c r="K886" s="29">
        <f t="shared" si="96"/>
        <v>4296</v>
      </c>
      <c r="L886" s="15">
        <v>9.3699999999999992</v>
      </c>
      <c r="M886" s="15">
        <v>11.35</v>
      </c>
      <c r="N886" s="16">
        <f t="shared" si="94"/>
        <v>309210</v>
      </c>
      <c r="O886" s="17">
        <f t="shared" si="95"/>
        <v>281100</v>
      </c>
      <c r="P886" s="18">
        <f t="shared" ref="P886:P917" si="97">(C886*H886)+(I886*D886)</f>
        <v>276804</v>
      </c>
    </row>
    <row r="887" spans="1:16" x14ac:dyDescent="0.3">
      <c r="A887" s="7">
        <v>45586</v>
      </c>
      <c r="B887" s="8" t="s">
        <v>43</v>
      </c>
      <c r="C887" s="9">
        <v>8.3879999999999999</v>
      </c>
      <c r="D887" s="9">
        <v>9.8140000000000001</v>
      </c>
      <c r="E887" s="19"/>
      <c r="F887" s="19"/>
      <c r="G887" s="20" t="s">
        <v>17</v>
      </c>
      <c r="H887" s="12">
        <v>13000</v>
      </c>
      <c r="I887" s="13">
        <v>4000</v>
      </c>
      <c r="J887" s="11"/>
      <c r="K887" s="29">
        <f t="shared" si="96"/>
        <v>3709.0909090908826</v>
      </c>
      <c r="L887" s="15">
        <v>9.3699999999999992</v>
      </c>
      <c r="M887" s="15">
        <v>11.35</v>
      </c>
      <c r="N887" s="16">
        <f t="shared" si="94"/>
        <v>167210</v>
      </c>
      <c r="O887" s="17">
        <f t="shared" si="95"/>
        <v>152009.09090909088</v>
      </c>
      <c r="P887" s="18">
        <f t="shared" si="97"/>
        <v>148300</v>
      </c>
    </row>
    <row r="888" spans="1:16" x14ac:dyDescent="0.3">
      <c r="A888" s="7">
        <v>45586</v>
      </c>
      <c r="B888" s="8" t="s">
        <v>43</v>
      </c>
      <c r="C888" s="9">
        <v>8.3879999999999999</v>
      </c>
      <c r="D888" s="9">
        <v>9.8140000000000001</v>
      </c>
      <c r="E888" s="21"/>
      <c r="F888" s="21"/>
      <c r="G888" s="11" t="s">
        <v>17</v>
      </c>
      <c r="H888" s="12">
        <v>33000</v>
      </c>
      <c r="I888" s="13"/>
      <c r="J888" s="11"/>
      <c r="K888" s="29">
        <f t="shared" si="96"/>
        <v>4296</v>
      </c>
      <c r="L888" s="15">
        <v>9.3699999999999992</v>
      </c>
      <c r="M888" s="15">
        <v>11.35</v>
      </c>
      <c r="N888" s="16">
        <f t="shared" si="94"/>
        <v>309210</v>
      </c>
      <c r="O888" s="17">
        <f t="shared" si="95"/>
        <v>281100</v>
      </c>
      <c r="P888" s="18">
        <f t="shared" si="97"/>
        <v>276804</v>
      </c>
    </row>
    <row r="889" spans="1:16" x14ac:dyDescent="0.3">
      <c r="A889" s="7">
        <v>45587</v>
      </c>
      <c r="B889" s="8" t="s">
        <v>43</v>
      </c>
      <c r="C889" s="9">
        <v>8.3879999999999999</v>
      </c>
      <c r="D889" s="9">
        <v>9.8140000000000001</v>
      </c>
      <c r="E889" s="10">
        <v>135000</v>
      </c>
      <c r="F889" s="10">
        <v>15000</v>
      </c>
      <c r="G889" s="20" t="s">
        <v>32</v>
      </c>
      <c r="H889" s="12">
        <v>35000</v>
      </c>
      <c r="I889" s="13"/>
      <c r="J889" s="11"/>
      <c r="K889" s="29">
        <f t="shared" si="96"/>
        <v>4556.3636363635887</v>
      </c>
      <c r="L889" s="15">
        <v>9.3699999999999992</v>
      </c>
      <c r="M889" s="15">
        <v>11.9</v>
      </c>
      <c r="N889" s="16">
        <f t="shared" si="94"/>
        <v>327950</v>
      </c>
      <c r="O889" s="17">
        <f t="shared" si="95"/>
        <v>298136.36363636359</v>
      </c>
      <c r="P889" s="18">
        <f t="shared" si="97"/>
        <v>293580</v>
      </c>
    </row>
    <row r="890" spans="1:16" x14ac:dyDescent="0.3">
      <c r="A890" s="7">
        <v>45587</v>
      </c>
      <c r="B890" s="8" t="s">
        <v>43</v>
      </c>
      <c r="C890" s="9">
        <v>8.3879999999999999</v>
      </c>
      <c r="D890" s="9">
        <v>9.8140000000000001</v>
      </c>
      <c r="E890" s="19"/>
      <c r="F890" s="19"/>
      <c r="G890" s="20" t="s">
        <v>32</v>
      </c>
      <c r="H890" s="12">
        <v>32000</v>
      </c>
      <c r="I890" s="13"/>
      <c r="J890" s="11"/>
      <c r="K890" s="29">
        <f>O890-P890</f>
        <v>4165.8181818181765</v>
      </c>
      <c r="L890" s="15">
        <v>9.3699999999999992</v>
      </c>
      <c r="M890" s="15">
        <v>11.9</v>
      </c>
      <c r="N890" s="16">
        <f t="shared" si="94"/>
        <v>299840</v>
      </c>
      <c r="O890" s="17">
        <f t="shared" si="95"/>
        <v>272581.81818181818</v>
      </c>
      <c r="P890" s="18">
        <f t="shared" si="97"/>
        <v>268416</v>
      </c>
    </row>
    <row r="891" spans="1:16" x14ac:dyDescent="0.3">
      <c r="A891" s="7">
        <v>45587</v>
      </c>
      <c r="B891" s="8" t="s">
        <v>43</v>
      </c>
      <c r="C891" s="9">
        <v>8.3879999999999999</v>
      </c>
      <c r="D891" s="9">
        <v>9.8140000000000001</v>
      </c>
      <c r="E891" s="19"/>
      <c r="F891" s="19"/>
      <c r="G891" s="20" t="s">
        <v>17</v>
      </c>
      <c r="H891" s="12">
        <v>7000</v>
      </c>
      <c r="I891" s="13">
        <v>7000</v>
      </c>
      <c r="J891" s="11"/>
      <c r="K891" s="29">
        <f>O891-P891</f>
        <v>4440.5454545454413</v>
      </c>
      <c r="L891" s="15">
        <v>9.3699999999999992</v>
      </c>
      <c r="M891" s="15">
        <v>11.35</v>
      </c>
      <c r="N891" s="16">
        <f t="shared" si="94"/>
        <v>145040</v>
      </c>
      <c r="O891" s="17">
        <f t="shared" si="95"/>
        <v>131854.54545454544</v>
      </c>
      <c r="P891" s="18">
        <f t="shared" si="97"/>
        <v>127414</v>
      </c>
    </row>
    <row r="892" spans="1:16" hidden="1" x14ac:dyDescent="0.3">
      <c r="A892" s="7">
        <v>45587</v>
      </c>
      <c r="B892" s="8" t="s">
        <v>43</v>
      </c>
      <c r="C892" s="9">
        <v>8.3879999999999999</v>
      </c>
      <c r="D892" s="9">
        <v>9.8140000000000001</v>
      </c>
      <c r="E892" s="19"/>
      <c r="F892" s="19"/>
      <c r="G892" s="20" t="s">
        <v>22</v>
      </c>
      <c r="H892" s="12"/>
      <c r="I892" s="13">
        <v>3000</v>
      </c>
      <c r="J892" s="11"/>
      <c r="K892" s="14">
        <f t="shared" si="96"/>
        <v>-29442</v>
      </c>
      <c r="L892" s="15"/>
      <c r="M892" s="15"/>
      <c r="N892" s="16">
        <f t="shared" si="94"/>
        <v>0</v>
      </c>
      <c r="O892" s="17">
        <f t="shared" si="95"/>
        <v>0</v>
      </c>
      <c r="P892" s="18">
        <f t="shared" si="97"/>
        <v>29442</v>
      </c>
    </row>
    <row r="893" spans="1:16" x14ac:dyDescent="0.3">
      <c r="A893" s="7">
        <v>45587</v>
      </c>
      <c r="B893" s="8" t="s">
        <v>43</v>
      </c>
      <c r="C893" s="9">
        <v>8.3879999999999999</v>
      </c>
      <c r="D893" s="9">
        <v>9.8140000000000001</v>
      </c>
      <c r="E893" s="19"/>
      <c r="F893" s="19"/>
      <c r="G893" s="20" t="s">
        <v>17</v>
      </c>
      <c r="H893" s="12">
        <v>28000</v>
      </c>
      <c r="I893" s="13">
        <v>5000</v>
      </c>
      <c r="J893" s="11"/>
      <c r="K893" s="29">
        <f t="shared" si="96"/>
        <v>6166</v>
      </c>
      <c r="L893" s="15">
        <v>9.3699999999999992</v>
      </c>
      <c r="M893" s="15">
        <v>11.35</v>
      </c>
      <c r="N893" s="16">
        <f t="shared" si="94"/>
        <v>319110</v>
      </c>
      <c r="O893" s="17">
        <f t="shared" si="95"/>
        <v>290100</v>
      </c>
      <c r="P893" s="18">
        <f t="shared" si="97"/>
        <v>283934</v>
      </c>
    </row>
    <row r="894" spans="1:16" x14ac:dyDescent="0.3">
      <c r="A894" s="7">
        <v>45587</v>
      </c>
      <c r="B894" s="8" t="s">
        <v>43</v>
      </c>
      <c r="C894" s="9">
        <v>8.3879999999999999</v>
      </c>
      <c r="D894" s="9">
        <v>9.8140000000000001</v>
      </c>
      <c r="E894" s="21"/>
      <c r="F894" s="21"/>
      <c r="G894" s="20" t="s">
        <v>17</v>
      </c>
      <c r="H894" s="12">
        <v>33000</v>
      </c>
      <c r="I894" s="13"/>
      <c r="J894" s="11"/>
      <c r="K894" s="29">
        <f t="shared" si="96"/>
        <v>4296</v>
      </c>
      <c r="L894" s="15">
        <v>9.3699999999999992</v>
      </c>
      <c r="M894" s="15">
        <v>11.35</v>
      </c>
      <c r="N894" s="16">
        <f t="shared" si="94"/>
        <v>309210</v>
      </c>
      <c r="O894" s="17">
        <f t="shared" si="95"/>
        <v>281100</v>
      </c>
      <c r="P894" s="18">
        <f t="shared" si="97"/>
        <v>276804</v>
      </c>
    </row>
    <row r="895" spans="1:16" x14ac:dyDescent="0.3">
      <c r="A895" s="7">
        <v>45588</v>
      </c>
      <c r="B895" s="8" t="s">
        <v>39</v>
      </c>
      <c r="C895" s="9">
        <v>8.4499999999999993</v>
      </c>
      <c r="D895" s="9">
        <v>10.28</v>
      </c>
      <c r="E895" s="10">
        <v>20000</v>
      </c>
      <c r="F895" s="10">
        <v>13000</v>
      </c>
      <c r="G895" s="11" t="s">
        <v>28</v>
      </c>
      <c r="H895" s="12">
        <v>6000</v>
      </c>
      <c r="I895" s="13">
        <v>10000</v>
      </c>
      <c r="J895" s="11"/>
      <c r="K895" s="29">
        <f t="shared" si="96"/>
        <v>21663.636363636353</v>
      </c>
      <c r="L895" s="15">
        <v>10.88</v>
      </c>
      <c r="M895" s="15">
        <v>12.74</v>
      </c>
      <c r="N895" s="16">
        <f t="shared" si="94"/>
        <v>192680</v>
      </c>
      <c r="O895" s="17">
        <f t="shared" si="95"/>
        <v>175163.63636363635</v>
      </c>
      <c r="P895" s="18">
        <f t="shared" si="97"/>
        <v>153500</v>
      </c>
    </row>
    <row r="896" spans="1:16" x14ac:dyDescent="0.3">
      <c r="A896" s="7">
        <v>45588</v>
      </c>
      <c r="B896" s="8" t="s">
        <v>39</v>
      </c>
      <c r="C896" s="9">
        <v>8.4499999999999993</v>
      </c>
      <c r="D896" s="9">
        <v>10.28</v>
      </c>
      <c r="E896" s="21"/>
      <c r="F896" s="21"/>
      <c r="G896" s="11" t="s">
        <v>29</v>
      </c>
      <c r="H896" s="12">
        <v>14000</v>
      </c>
      <c r="I896" s="13">
        <v>3000</v>
      </c>
      <c r="J896" s="11"/>
      <c r="K896" s="29">
        <f t="shared" si="96"/>
        <v>23705.454545454559</v>
      </c>
      <c r="L896" s="15">
        <v>10.84</v>
      </c>
      <c r="M896" s="15">
        <v>12.79</v>
      </c>
      <c r="N896" s="16">
        <f t="shared" si="94"/>
        <v>190130</v>
      </c>
      <c r="O896" s="17">
        <f t="shared" si="95"/>
        <v>172845.45454545453</v>
      </c>
      <c r="P896" s="18">
        <f t="shared" si="97"/>
        <v>149139.99999999997</v>
      </c>
    </row>
    <row r="897" spans="1:16" x14ac:dyDescent="0.3">
      <c r="A897" s="7">
        <v>45588</v>
      </c>
      <c r="B897" s="8" t="s">
        <v>43</v>
      </c>
      <c r="C897" s="9">
        <v>8.3879999999999999</v>
      </c>
      <c r="D897" s="9">
        <v>9.8140000000000001</v>
      </c>
      <c r="E897" s="10">
        <v>37000</v>
      </c>
      <c r="F897" s="10">
        <v>10000</v>
      </c>
      <c r="G897" s="20" t="s">
        <v>32</v>
      </c>
      <c r="H897" s="12">
        <v>14000</v>
      </c>
      <c r="I897" s="13"/>
      <c r="J897" s="11"/>
      <c r="K897" s="29">
        <f t="shared" si="96"/>
        <v>1822.5454545454413</v>
      </c>
      <c r="L897" s="15">
        <v>9.3699999999999992</v>
      </c>
      <c r="M897" s="15">
        <v>11.9</v>
      </c>
      <c r="N897" s="16">
        <f t="shared" si="94"/>
        <v>131180</v>
      </c>
      <c r="O897" s="17">
        <f t="shared" si="95"/>
        <v>119254.54545454544</v>
      </c>
      <c r="P897" s="18">
        <f t="shared" si="97"/>
        <v>117432</v>
      </c>
    </row>
    <row r="898" spans="1:16" x14ac:dyDescent="0.3">
      <c r="A898" s="7">
        <v>45588</v>
      </c>
      <c r="B898" s="8" t="s">
        <v>43</v>
      </c>
      <c r="C898" s="9">
        <v>8.3879999999999999</v>
      </c>
      <c r="D898" s="9">
        <v>9.8140000000000001</v>
      </c>
      <c r="E898" s="21"/>
      <c r="F898" s="21"/>
      <c r="G898" s="20" t="s">
        <v>17</v>
      </c>
      <c r="H898" s="12">
        <v>23000</v>
      </c>
      <c r="I898" s="13">
        <v>10000</v>
      </c>
      <c r="J898" s="11"/>
      <c r="K898" s="29">
        <f>O898-P898</f>
        <v>8036</v>
      </c>
      <c r="L898" s="15">
        <v>9.3699999999999992</v>
      </c>
      <c r="M898" s="15">
        <v>11.35</v>
      </c>
      <c r="N898" s="16">
        <f t="shared" si="94"/>
        <v>329010</v>
      </c>
      <c r="O898" s="17">
        <f t="shared" si="95"/>
        <v>299100</v>
      </c>
      <c r="P898" s="18">
        <f t="shared" si="97"/>
        <v>291064</v>
      </c>
    </row>
    <row r="899" spans="1:16" x14ac:dyDescent="0.3">
      <c r="A899" s="7">
        <v>45589</v>
      </c>
      <c r="B899" s="8" t="s">
        <v>45</v>
      </c>
      <c r="C899" s="9">
        <v>8.3879999999999999</v>
      </c>
      <c r="D899" s="9">
        <v>9.8140000000000001</v>
      </c>
      <c r="E899" s="12">
        <v>33000</v>
      </c>
      <c r="F899" s="12"/>
      <c r="G899" s="11" t="s">
        <v>30</v>
      </c>
      <c r="H899" s="12">
        <v>33000</v>
      </c>
      <c r="I899" s="13"/>
      <c r="J899" s="11"/>
      <c r="K899" s="29">
        <f t="shared" ref="K899:K917" si="98">O899-P899</f>
        <v>25296</v>
      </c>
      <c r="L899" s="15">
        <v>10.07</v>
      </c>
      <c r="M899" s="15"/>
      <c r="N899" s="16">
        <f t="shared" si="94"/>
        <v>332310</v>
      </c>
      <c r="O899" s="17">
        <f t="shared" si="95"/>
        <v>302100</v>
      </c>
      <c r="P899" s="18">
        <f t="shared" si="97"/>
        <v>276804</v>
      </c>
    </row>
    <row r="900" spans="1:16" x14ac:dyDescent="0.3">
      <c r="A900" s="7">
        <v>45589</v>
      </c>
      <c r="B900" s="8" t="s">
        <v>43</v>
      </c>
      <c r="C900" s="9">
        <v>8.3879999999999999</v>
      </c>
      <c r="D900" s="9">
        <v>9.8140000000000001</v>
      </c>
      <c r="E900" s="12">
        <v>23000</v>
      </c>
      <c r="F900" s="12">
        <v>10000</v>
      </c>
      <c r="G900" s="20" t="s">
        <v>17</v>
      </c>
      <c r="H900" s="12">
        <v>23000</v>
      </c>
      <c r="I900" s="13">
        <v>10000</v>
      </c>
      <c r="J900" s="11"/>
      <c r="K900" s="29">
        <f t="shared" si="98"/>
        <v>8036</v>
      </c>
      <c r="L900" s="15">
        <v>9.3699999999999992</v>
      </c>
      <c r="M900" s="15">
        <v>11.35</v>
      </c>
      <c r="N900" s="16">
        <f t="shared" si="94"/>
        <v>329010</v>
      </c>
      <c r="O900" s="17">
        <f t="shared" si="95"/>
        <v>299100</v>
      </c>
      <c r="P900" s="18">
        <f t="shared" si="97"/>
        <v>291064</v>
      </c>
    </row>
    <row r="901" spans="1:16" hidden="1" x14ac:dyDescent="0.3">
      <c r="A901" s="7">
        <v>45589</v>
      </c>
      <c r="B901" s="8" t="s">
        <v>39</v>
      </c>
      <c r="C901" s="9">
        <v>8.4499999999999993</v>
      </c>
      <c r="D901" s="9">
        <v>10.28</v>
      </c>
      <c r="E901" s="10">
        <v>20000</v>
      </c>
      <c r="F901" s="10">
        <v>13000</v>
      </c>
      <c r="G901" s="20" t="s">
        <v>22</v>
      </c>
      <c r="H901" s="12"/>
      <c r="I901" s="13">
        <v>2000</v>
      </c>
      <c r="J901" s="11"/>
      <c r="K901" s="29">
        <f t="shared" si="98"/>
        <v>-20560</v>
      </c>
      <c r="L901" s="15"/>
      <c r="M901" s="15"/>
      <c r="N901" s="16">
        <f t="shared" si="94"/>
        <v>0</v>
      </c>
      <c r="O901" s="17">
        <f t="shared" si="95"/>
        <v>0</v>
      </c>
      <c r="P901" s="18">
        <f t="shared" si="97"/>
        <v>20560</v>
      </c>
    </row>
    <row r="902" spans="1:16" x14ac:dyDescent="0.3">
      <c r="A902" s="7">
        <v>45589</v>
      </c>
      <c r="B902" s="8" t="s">
        <v>39</v>
      </c>
      <c r="C902" s="9">
        <v>8.4499999999999993</v>
      </c>
      <c r="D902" s="9">
        <v>10.28</v>
      </c>
      <c r="E902" s="19"/>
      <c r="F902" s="19"/>
      <c r="G902" s="20" t="s">
        <v>23</v>
      </c>
      <c r="H902" s="12">
        <v>10000</v>
      </c>
      <c r="I902" s="13">
        <v>4000</v>
      </c>
      <c r="J902" s="11"/>
      <c r="K902" s="29">
        <f t="shared" si="98"/>
        <v>18107.272727272706</v>
      </c>
      <c r="L902" s="15">
        <v>10.69</v>
      </c>
      <c r="M902" s="15">
        <v>12.8</v>
      </c>
      <c r="N902" s="16">
        <f t="shared" si="94"/>
        <v>158100</v>
      </c>
      <c r="O902" s="17">
        <f t="shared" si="95"/>
        <v>143727.27272727271</v>
      </c>
      <c r="P902" s="18">
        <f t="shared" si="97"/>
        <v>125620</v>
      </c>
    </row>
    <row r="903" spans="1:16" x14ac:dyDescent="0.3">
      <c r="A903" s="7">
        <v>45589</v>
      </c>
      <c r="B903" s="8" t="s">
        <v>39</v>
      </c>
      <c r="C903" s="9">
        <v>8.4499999999999993</v>
      </c>
      <c r="D903" s="9">
        <v>10.28</v>
      </c>
      <c r="E903" s="21"/>
      <c r="F903" s="21"/>
      <c r="G903" s="20" t="s">
        <v>25</v>
      </c>
      <c r="H903" s="12">
        <v>10000</v>
      </c>
      <c r="I903" s="13">
        <v>7000</v>
      </c>
      <c r="J903" s="11"/>
      <c r="K903" s="29">
        <f t="shared" si="98"/>
        <v>26130.909090909088</v>
      </c>
      <c r="L903" s="15">
        <v>11.02</v>
      </c>
      <c r="M903" s="15">
        <v>12.95</v>
      </c>
      <c r="N903" s="16">
        <f t="shared" si="94"/>
        <v>200850</v>
      </c>
      <c r="O903" s="17">
        <f t="shared" si="95"/>
        <v>182590.90909090909</v>
      </c>
      <c r="P903" s="18">
        <f t="shared" si="97"/>
        <v>156460</v>
      </c>
    </row>
    <row r="904" spans="1:16" x14ac:dyDescent="0.3">
      <c r="A904" s="7">
        <v>45590</v>
      </c>
      <c r="B904" s="8" t="s">
        <v>19</v>
      </c>
      <c r="C904" s="9">
        <v>8.3879999999999999</v>
      </c>
      <c r="D904" s="9">
        <v>9.8140000000000001</v>
      </c>
      <c r="E904" s="12">
        <v>5000</v>
      </c>
      <c r="F904" s="12"/>
      <c r="G904" s="11" t="s">
        <v>30</v>
      </c>
      <c r="H904" s="12">
        <v>5000</v>
      </c>
      <c r="I904" s="13"/>
      <c r="J904" s="11"/>
      <c r="K904" s="29">
        <f t="shared" si="98"/>
        <v>3832.7272727272721</v>
      </c>
      <c r="L904" s="15">
        <v>10.07</v>
      </c>
      <c r="M904" s="15"/>
      <c r="N904" s="16">
        <f t="shared" si="94"/>
        <v>50350</v>
      </c>
      <c r="O904" s="17">
        <f t="shared" si="95"/>
        <v>45772.727272727272</v>
      </c>
      <c r="P904" s="18">
        <f t="shared" si="97"/>
        <v>41940</v>
      </c>
    </row>
    <row r="905" spans="1:16" x14ac:dyDescent="0.3">
      <c r="A905" s="7">
        <v>45590</v>
      </c>
      <c r="B905" s="8" t="s">
        <v>39</v>
      </c>
      <c r="C905" s="9">
        <v>8.4499999999999993</v>
      </c>
      <c r="D905" s="9">
        <v>10.28</v>
      </c>
      <c r="E905" s="12">
        <v>18000</v>
      </c>
      <c r="F905" s="12">
        <v>15000</v>
      </c>
      <c r="G905" s="20" t="s">
        <v>17</v>
      </c>
      <c r="H905" s="12">
        <v>18000</v>
      </c>
      <c r="I905" s="13">
        <v>15000</v>
      </c>
      <c r="J905" s="11"/>
      <c r="K905" s="14">
        <f t="shared" si="98"/>
        <v>1800</v>
      </c>
      <c r="L905" s="15">
        <v>9.3699999999999992</v>
      </c>
      <c r="M905" s="15">
        <v>11.35</v>
      </c>
      <c r="N905" s="16">
        <f t="shared" si="94"/>
        <v>338910</v>
      </c>
      <c r="O905" s="17">
        <f t="shared" si="95"/>
        <v>308100</v>
      </c>
      <c r="P905" s="18">
        <f t="shared" si="97"/>
        <v>306300</v>
      </c>
    </row>
    <row r="906" spans="1:16" hidden="1" x14ac:dyDescent="0.3">
      <c r="A906" s="7">
        <v>45591</v>
      </c>
      <c r="B906" s="8" t="s">
        <v>43</v>
      </c>
      <c r="C906" s="9">
        <v>8.3879999999999999</v>
      </c>
      <c r="D906" s="9">
        <v>9.8140000000000001</v>
      </c>
      <c r="E906" s="12">
        <v>7000</v>
      </c>
      <c r="F906" s="12">
        <v>10000</v>
      </c>
      <c r="G906" s="20" t="s">
        <v>22</v>
      </c>
      <c r="H906" s="12">
        <v>7000</v>
      </c>
      <c r="I906" s="13">
        <v>10000</v>
      </c>
      <c r="J906" s="11"/>
      <c r="K906" s="29">
        <f t="shared" si="98"/>
        <v>-156856</v>
      </c>
      <c r="L906" s="15"/>
      <c r="M906" s="15"/>
      <c r="N906" s="16">
        <f t="shared" si="94"/>
        <v>0</v>
      </c>
      <c r="O906" s="17">
        <f t="shared" si="95"/>
        <v>0</v>
      </c>
      <c r="P906" s="18">
        <f t="shared" si="97"/>
        <v>156856</v>
      </c>
    </row>
    <row r="907" spans="1:16" x14ac:dyDescent="0.3">
      <c r="A907" s="7">
        <v>45593</v>
      </c>
      <c r="B907" s="8" t="s">
        <v>43</v>
      </c>
      <c r="C907" s="9">
        <v>8.3879999999999999</v>
      </c>
      <c r="D907" s="9">
        <v>9.8140000000000001</v>
      </c>
      <c r="E907" s="10">
        <v>80000</v>
      </c>
      <c r="F907" s="10"/>
      <c r="G907" s="20" t="s">
        <v>32</v>
      </c>
      <c r="H907" s="12">
        <v>33000</v>
      </c>
      <c r="I907" s="13"/>
      <c r="J907" s="11"/>
      <c r="K907" s="29">
        <f t="shared" si="98"/>
        <v>4296</v>
      </c>
      <c r="L907" s="15">
        <v>9.3699999999999992</v>
      </c>
      <c r="M907" s="15">
        <v>11.9</v>
      </c>
      <c r="N907" s="16">
        <f t="shared" si="94"/>
        <v>309210</v>
      </c>
      <c r="O907" s="17">
        <f t="shared" si="95"/>
        <v>281100</v>
      </c>
      <c r="P907" s="18">
        <f t="shared" si="97"/>
        <v>276804</v>
      </c>
    </row>
    <row r="908" spans="1:16" x14ac:dyDescent="0.3">
      <c r="A908" s="7">
        <v>45593</v>
      </c>
      <c r="B908" s="8" t="s">
        <v>43</v>
      </c>
      <c r="C908" s="9">
        <v>8.3879999999999999</v>
      </c>
      <c r="D908" s="9">
        <v>9.8140000000000001</v>
      </c>
      <c r="E908" s="19"/>
      <c r="F908" s="19"/>
      <c r="G908" s="20" t="s">
        <v>32</v>
      </c>
      <c r="H908" s="12">
        <v>14000</v>
      </c>
      <c r="I908" s="13"/>
      <c r="J908" s="11"/>
      <c r="K908" s="29">
        <f t="shared" si="98"/>
        <v>1822.5454545454413</v>
      </c>
      <c r="L908" s="15">
        <v>9.3699999999999992</v>
      </c>
      <c r="M908" s="15">
        <v>11.9</v>
      </c>
      <c r="N908" s="16">
        <f t="shared" si="94"/>
        <v>131180</v>
      </c>
      <c r="O908" s="17">
        <f t="shared" si="95"/>
        <v>119254.54545454544</v>
      </c>
      <c r="P908" s="18">
        <f t="shared" si="97"/>
        <v>117432</v>
      </c>
    </row>
    <row r="909" spans="1:16" x14ac:dyDescent="0.3">
      <c r="A909" s="7">
        <v>45593</v>
      </c>
      <c r="B909" s="8" t="s">
        <v>43</v>
      </c>
      <c r="C909" s="9">
        <v>8.3879999999999999</v>
      </c>
      <c r="D909" s="9">
        <v>9.8140000000000001</v>
      </c>
      <c r="E909" s="21"/>
      <c r="F909" s="21"/>
      <c r="G909" s="20" t="s">
        <v>17</v>
      </c>
      <c r="H909" s="12">
        <v>33000</v>
      </c>
      <c r="I909" s="13"/>
      <c r="J909" s="11"/>
      <c r="K909" s="29">
        <f t="shared" si="98"/>
        <v>4296</v>
      </c>
      <c r="L909" s="15">
        <v>9.3699999999999992</v>
      </c>
      <c r="M909" s="15">
        <v>11.35</v>
      </c>
      <c r="N909" s="16">
        <f t="shared" si="94"/>
        <v>309210</v>
      </c>
      <c r="O909" s="17">
        <f t="shared" si="95"/>
        <v>281100</v>
      </c>
      <c r="P909" s="18">
        <f t="shared" si="97"/>
        <v>276804</v>
      </c>
    </row>
    <row r="910" spans="1:16" x14ac:dyDescent="0.3">
      <c r="A910" s="7">
        <v>45593</v>
      </c>
      <c r="B910" s="8" t="s">
        <v>39</v>
      </c>
      <c r="C910" s="9">
        <v>8.4499999999999993</v>
      </c>
      <c r="D910" s="9">
        <v>10.28</v>
      </c>
      <c r="E910" s="12">
        <v>18000</v>
      </c>
      <c r="F910" s="12">
        <v>15000</v>
      </c>
      <c r="G910" s="20" t="s">
        <v>17</v>
      </c>
      <c r="H910" s="12">
        <v>18000</v>
      </c>
      <c r="I910" s="13">
        <v>15000</v>
      </c>
      <c r="J910" s="11"/>
      <c r="K910" s="29">
        <f t="shared" si="98"/>
        <v>1800</v>
      </c>
      <c r="L910" s="15">
        <v>9.3699999999999992</v>
      </c>
      <c r="M910" s="15">
        <v>11.35</v>
      </c>
      <c r="N910" s="16">
        <f t="shared" si="94"/>
        <v>338910</v>
      </c>
      <c r="O910" s="17">
        <f t="shared" si="95"/>
        <v>308100</v>
      </c>
      <c r="P910" s="18">
        <f t="shared" si="97"/>
        <v>306300</v>
      </c>
    </row>
    <row r="911" spans="1:16" x14ac:dyDescent="0.3">
      <c r="A911" s="7">
        <v>45594</v>
      </c>
      <c r="B911" s="8" t="s">
        <v>43</v>
      </c>
      <c r="C911" s="9">
        <v>8.3879999999999999</v>
      </c>
      <c r="D911" s="9">
        <v>9.8140000000000001</v>
      </c>
      <c r="E911" s="10">
        <v>40000</v>
      </c>
      <c r="F911" s="10">
        <v>10000</v>
      </c>
      <c r="G911" s="20" t="s">
        <v>27</v>
      </c>
      <c r="H911" s="12">
        <v>14000</v>
      </c>
      <c r="I911" s="13">
        <v>3000</v>
      </c>
      <c r="J911" s="11"/>
      <c r="K911" s="29">
        <f t="shared" si="98"/>
        <v>20662.363636363618</v>
      </c>
      <c r="L911" s="15">
        <v>10.47</v>
      </c>
      <c r="M911" s="15">
        <v>12.57</v>
      </c>
      <c r="N911" s="16">
        <f t="shared" si="94"/>
        <v>184290</v>
      </c>
      <c r="O911" s="17">
        <f t="shared" si="95"/>
        <v>167536.36363636362</v>
      </c>
      <c r="P911" s="18">
        <f t="shared" si="97"/>
        <v>146874</v>
      </c>
    </row>
    <row r="912" spans="1:16" x14ac:dyDescent="0.3">
      <c r="A912" s="7">
        <v>45594</v>
      </c>
      <c r="B912" s="8" t="s">
        <v>43</v>
      </c>
      <c r="C912" s="9">
        <v>8.3879999999999999</v>
      </c>
      <c r="D912" s="9">
        <v>9.8140000000000001</v>
      </c>
      <c r="E912" s="21"/>
      <c r="F912" s="21"/>
      <c r="G912" s="20" t="s">
        <v>17</v>
      </c>
      <c r="H912" s="12">
        <v>26000</v>
      </c>
      <c r="I912" s="13">
        <v>7000</v>
      </c>
      <c r="J912" s="11"/>
      <c r="K912" s="29">
        <f t="shared" si="98"/>
        <v>6914</v>
      </c>
      <c r="L912" s="15">
        <v>9.3699999999999992</v>
      </c>
      <c r="M912" s="15">
        <v>11.35</v>
      </c>
      <c r="N912" s="16">
        <f t="shared" si="94"/>
        <v>323070</v>
      </c>
      <c r="O912" s="17">
        <f t="shared" si="95"/>
        <v>293700</v>
      </c>
      <c r="P912" s="18">
        <f t="shared" si="97"/>
        <v>286786</v>
      </c>
    </row>
    <row r="913" spans="1:16" x14ac:dyDescent="0.3">
      <c r="A913" s="7">
        <v>45594</v>
      </c>
      <c r="B913" s="8" t="s">
        <v>39</v>
      </c>
      <c r="C913" s="9">
        <v>8.4499999999999993</v>
      </c>
      <c r="D913" s="9">
        <v>10.28</v>
      </c>
      <c r="E913" s="12">
        <v>29000</v>
      </c>
      <c r="F913" s="12">
        <v>4000</v>
      </c>
      <c r="G913" s="20" t="s">
        <v>17</v>
      </c>
      <c r="H913" s="12">
        <v>29000</v>
      </c>
      <c r="I913" s="13">
        <v>4000</v>
      </c>
      <c r="J913" s="11"/>
      <c r="K913" s="29">
        <f t="shared" si="98"/>
        <v>2130</v>
      </c>
      <c r="L913" s="15">
        <v>9.3699999999999992</v>
      </c>
      <c r="M913" s="15">
        <v>11.35</v>
      </c>
      <c r="N913" s="16">
        <f t="shared" si="94"/>
        <v>317130</v>
      </c>
      <c r="O913" s="17">
        <f t="shared" si="95"/>
        <v>288300</v>
      </c>
      <c r="P913" s="18">
        <f t="shared" si="97"/>
        <v>286170</v>
      </c>
    </row>
    <row r="914" spans="1:16" x14ac:dyDescent="0.3">
      <c r="A914" s="7">
        <v>45595</v>
      </c>
      <c r="B914" s="8" t="s">
        <v>43</v>
      </c>
      <c r="C914" s="9">
        <v>8.3879999999999999</v>
      </c>
      <c r="D914" s="9">
        <v>9.8140000000000001</v>
      </c>
      <c r="E914" s="10">
        <v>44000</v>
      </c>
      <c r="F914" s="10">
        <v>6000</v>
      </c>
      <c r="G914" s="20" t="s">
        <v>17</v>
      </c>
      <c r="H914" s="12">
        <v>27000</v>
      </c>
      <c r="I914" s="13">
        <v>6000</v>
      </c>
      <c r="J914" s="11"/>
      <c r="K914" s="29">
        <f t="shared" si="98"/>
        <v>6540</v>
      </c>
      <c r="L914" s="15">
        <v>9.3699999999999992</v>
      </c>
      <c r="M914" s="15">
        <v>11.35</v>
      </c>
      <c r="N914" s="16">
        <f t="shared" si="94"/>
        <v>321090</v>
      </c>
      <c r="O914" s="17">
        <f t="shared" si="95"/>
        <v>291900</v>
      </c>
      <c r="P914" s="18">
        <f t="shared" si="97"/>
        <v>285360</v>
      </c>
    </row>
    <row r="915" spans="1:16" x14ac:dyDescent="0.3">
      <c r="A915" s="7">
        <v>45596</v>
      </c>
      <c r="B915" s="8" t="s">
        <v>43</v>
      </c>
      <c r="C915" s="9">
        <v>8.3879999999999999</v>
      </c>
      <c r="D915" s="9">
        <v>9.8140000000000001</v>
      </c>
      <c r="E915" s="21"/>
      <c r="F915" s="21"/>
      <c r="G915" s="20" t="s">
        <v>23</v>
      </c>
      <c r="H915" s="12">
        <v>17000</v>
      </c>
      <c r="I915" s="13"/>
      <c r="J915" s="11"/>
      <c r="K915" s="29">
        <f t="shared" si="98"/>
        <v>22613.090909090883</v>
      </c>
      <c r="L915" s="15">
        <v>10.69</v>
      </c>
      <c r="M915" s="15">
        <v>12.8</v>
      </c>
      <c r="N915" s="16">
        <f t="shared" si="94"/>
        <v>181730</v>
      </c>
      <c r="O915" s="17">
        <f t="shared" si="95"/>
        <v>165209.09090909088</v>
      </c>
      <c r="P915" s="18">
        <f t="shared" si="97"/>
        <v>142596</v>
      </c>
    </row>
    <row r="916" spans="1:16" x14ac:dyDescent="0.3">
      <c r="A916" s="7">
        <v>45596</v>
      </c>
      <c r="B916" s="8" t="s">
        <v>43</v>
      </c>
      <c r="C916" s="9">
        <v>8.3879999999999999</v>
      </c>
      <c r="D916" s="9">
        <v>9.8140000000000001</v>
      </c>
      <c r="E916" s="12">
        <v>5000</v>
      </c>
      <c r="F916" s="12">
        <v>10000</v>
      </c>
      <c r="G916" s="11" t="s">
        <v>37</v>
      </c>
      <c r="H916" s="12">
        <v>5000</v>
      </c>
      <c r="I916" s="13">
        <v>10000</v>
      </c>
      <c r="J916" s="11"/>
      <c r="K916" s="29">
        <f t="shared" si="98"/>
        <v>2510.9090909090883</v>
      </c>
      <c r="L916" s="15">
        <v>9.3699999999999992</v>
      </c>
      <c r="M916" s="15">
        <v>11</v>
      </c>
      <c r="N916" s="16">
        <f t="shared" si="94"/>
        <v>156850</v>
      </c>
      <c r="O916" s="17">
        <f t="shared" si="95"/>
        <v>142590.90909090909</v>
      </c>
      <c r="P916" s="18">
        <f t="shared" si="97"/>
        <v>140080</v>
      </c>
    </row>
    <row r="917" spans="1:16" x14ac:dyDescent="0.3">
      <c r="A917" s="7">
        <v>45596</v>
      </c>
      <c r="B917" s="8" t="s">
        <v>39</v>
      </c>
      <c r="C917" s="9">
        <v>8.4499999999999993</v>
      </c>
      <c r="D917" s="9">
        <v>10.28</v>
      </c>
      <c r="E917" s="12">
        <v>28000</v>
      </c>
      <c r="F917" s="12">
        <v>5000</v>
      </c>
      <c r="G917" s="20" t="s">
        <v>17</v>
      </c>
      <c r="H917" s="12">
        <v>28000</v>
      </c>
      <c r="I917" s="13">
        <v>5000</v>
      </c>
      <c r="J917" s="11"/>
      <c r="K917" s="29">
        <f t="shared" si="98"/>
        <v>2100</v>
      </c>
      <c r="L917" s="15">
        <v>9.3699999999999992</v>
      </c>
      <c r="M917" s="15">
        <v>11.35</v>
      </c>
      <c r="N917" s="16">
        <f t="shared" si="94"/>
        <v>319110</v>
      </c>
      <c r="O917" s="17">
        <f t="shared" si="95"/>
        <v>290100</v>
      </c>
      <c r="P917" s="18">
        <f t="shared" si="97"/>
        <v>288000</v>
      </c>
    </row>
  </sheetData>
  <autoFilter ref="A1:Q917" xr:uid="{78A276FC-DC1B-4D83-8078-82FD0F3A7A53}">
    <filterColumn colId="6">
      <filters>
        <filter val="AGASTAT"/>
        <filter val="AR PETROLE"/>
        <filter val="BLACK OIL"/>
        <filter val="CASALUB"/>
        <filter val="DIMALUB"/>
        <filter val="DRISSI EL MADANI (S/S SALAMA ERFOUD)"/>
        <filter val="GALITRA SARL"/>
        <filter val="JAK TRANSPORT"/>
        <filter val="MADES GOLBAL"/>
        <filter val="REDAZI LUB"/>
        <filter val="S/S AZROU"/>
        <filter val="S/S BOULEMANE"/>
        <filter val="S/S CENTRE COMMERCIAL MANAR D'OR"/>
        <filter val="S/S DEBBOUI NEGOCE"/>
        <filter val="S/S ERRCHIDIA CENTRE"/>
        <filter val="S/S JORF EL MALHA"/>
        <filter val="S/S SEBAA AYOUNE"/>
        <filter val="S/S TAHAR SOUK"/>
        <filter val="SK POWER"/>
        <filter val="SOMACOST"/>
        <filter val="STE CATER"/>
        <filter val="STE DES CARBURANTES DE NADOR"/>
        <filter val="ZAMAN INVEST"/>
      </filters>
    </filterColumn>
  </autoFilter>
  <mergeCells count="378">
    <mergeCell ref="E907:E909"/>
    <mergeCell ref="F907:F909"/>
    <mergeCell ref="E911:E912"/>
    <mergeCell ref="F911:F912"/>
    <mergeCell ref="E914:E915"/>
    <mergeCell ref="F914:F915"/>
    <mergeCell ref="E895:E896"/>
    <mergeCell ref="F895:F896"/>
    <mergeCell ref="E897:E898"/>
    <mergeCell ref="F897:F898"/>
    <mergeCell ref="E901:E903"/>
    <mergeCell ref="F901:F903"/>
    <mergeCell ref="E877:E884"/>
    <mergeCell ref="F877:F884"/>
    <mergeCell ref="E885:E888"/>
    <mergeCell ref="F885:F888"/>
    <mergeCell ref="E889:E894"/>
    <mergeCell ref="F889:F894"/>
    <mergeCell ref="E856:E861"/>
    <mergeCell ref="F856:F861"/>
    <mergeCell ref="E862:E863"/>
    <mergeCell ref="E864:E872"/>
    <mergeCell ref="F864:F872"/>
    <mergeCell ref="E873:E876"/>
    <mergeCell ref="E847:E849"/>
    <mergeCell ref="F847:F849"/>
    <mergeCell ref="E852:E853"/>
    <mergeCell ref="F852:F853"/>
    <mergeCell ref="E854:E855"/>
    <mergeCell ref="F854:F855"/>
    <mergeCell ref="E838:E839"/>
    <mergeCell ref="F838:F839"/>
    <mergeCell ref="E840:E841"/>
    <mergeCell ref="F840:F841"/>
    <mergeCell ref="E844:E846"/>
    <mergeCell ref="F844:F846"/>
    <mergeCell ref="E829:E831"/>
    <mergeCell ref="F829:F831"/>
    <mergeCell ref="E832:E833"/>
    <mergeCell ref="F832:F833"/>
    <mergeCell ref="E836:E837"/>
    <mergeCell ref="F836:F837"/>
    <mergeCell ref="E814:E815"/>
    <mergeCell ref="E819:E820"/>
    <mergeCell ref="F819:F820"/>
    <mergeCell ref="E821:E825"/>
    <mergeCell ref="F821:F825"/>
    <mergeCell ref="E826:E828"/>
    <mergeCell ref="F826:F828"/>
    <mergeCell ref="E798:E800"/>
    <mergeCell ref="F798:F800"/>
    <mergeCell ref="E802:E805"/>
    <mergeCell ref="F802:F805"/>
    <mergeCell ref="E808:E809"/>
    <mergeCell ref="F808:F809"/>
    <mergeCell ref="E786:E788"/>
    <mergeCell ref="F786:F788"/>
    <mergeCell ref="E789:E790"/>
    <mergeCell ref="F789:F790"/>
    <mergeCell ref="E792:E793"/>
    <mergeCell ref="E795:E796"/>
    <mergeCell ref="F795:F796"/>
    <mergeCell ref="E774:E776"/>
    <mergeCell ref="F774:F776"/>
    <mergeCell ref="E778:E781"/>
    <mergeCell ref="F778:F781"/>
    <mergeCell ref="E784:E785"/>
    <mergeCell ref="F784:F785"/>
    <mergeCell ref="E766:E768"/>
    <mergeCell ref="F766:F768"/>
    <mergeCell ref="E770:E771"/>
    <mergeCell ref="F770:F771"/>
    <mergeCell ref="E772:E773"/>
    <mergeCell ref="F772:F773"/>
    <mergeCell ref="E757:E758"/>
    <mergeCell ref="F757:F758"/>
    <mergeCell ref="E759:E761"/>
    <mergeCell ref="F759:F761"/>
    <mergeCell ref="E764:E765"/>
    <mergeCell ref="F764:F765"/>
    <mergeCell ref="E747:E748"/>
    <mergeCell ref="F747:F748"/>
    <mergeCell ref="E750:E752"/>
    <mergeCell ref="F750:F752"/>
    <mergeCell ref="E753:E756"/>
    <mergeCell ref="F753:F756"/>
    <mergeCell ref="E737:E738"/>
    <mergeCell ref="F737:F738"/>
    <mergeCell ref="E739:E740"/>
    <mergeCell ref="F739:F740"/>
    <mergeCell ref="E743:E744"/>
    <mergeCell ref="F743:F744"/>
    <mergeCell ref="E726:E728"/>
    <mergeCell ref="F726:F728"/>
    <mergeCell ref="E730:E731"/>
    <mergeCell ref="F730:F731"/>
    <mergeCell ref="E732:E733"/>
    <mergeCell ref="F732:F733"/>
    <mergeCell ref="E717:E719"/>
    <mergeCell ref="F717:F719"/>
    <mergeCell ref="E720:E721"/>
    <mergeCell ref="F720:F721"/>
    <mergeCell ref="E722:E724"/>
    <mergeCell ref="F722:F724"/>
    <mergeCell ref="E707:E709"/>
    <mergeCell ref="F707:F709"/>
    <mergeCell ref="E711:E712"/>
    <mergeCell ref="F711:F712"/>
    <mergeCell ref="E713:E716"/>
    <mergeCell ref="F713:F716"/>
    <mergeCell ref="E688:E689"/>
    <mergeCell ref="E690:E691"/>
    <mergeCell ref="F690:F691"/>
    <mergeCell ref="E693:E700"/>
    <mergeCell ref="F693:F700"/>
    <mergeCell ref="E702:E705"/>
    <mergeCell ref="F702:F705"/>
    <mergeCell ref="E669:E673"/>
    <mergeCell ref="F669:F673"/>
    <mergeCell ref="E676:E681"/>
    <mergeCell ref="F676:F681"/>
    <mergeCell ref="E682:E685"/>
    <mergeCell ref="F682:F685"/>
    <mergeCell ref="E645:E656"/>
    <mergeCell ref="F645:F656"/>
    <mergeCell ref="E659:E663"/>
    <mergeCell ref="F659:F663"/>
    <mergeCell ref="E664:E667"/>
    <mergeCell ref="F664:F667"/>
    <mergeCell ref="E615:E626"/>
    <mergeCell ref="F615:F626"/>
    <mergeCell ref="E627:E635"/>
    <mergeCell ref="F627:F635"/>
    <mergeCell ref="E636:E644"/>
    <mergeCell ref="F636:F644"/>
    <mergeCell ref="E599:E600"/>
    <mergeCell ref="F599:F600"/>
    <mergeCell ref="E601:E610"/>
    <mergeCell ref="F601:F610"/>
    <mergeCell ref="E611:E614"/>
    <mergeCell ref="F611:F614"/>
    <mergeCell ref="E586:E588"/>
    <mergeCell ref="F586:F588"/>
    <mergeCell ref="E590:E591"/>
    <mergeCell ref="F590:F591"/>
    <mergeCell ref="E592:E597"/>
    <mergeCell ref="F592:F597"/>
    <mergeCell ref="E574:E575"/>
    <mergeCell ref="E578:E580"/>
    <mergeCell ref="F578:F580"/>
    <mergeCell ref="E581:E582"/>
    <mergeCell ref="F581:F582"/>
    <mergeCell ref="E583:E584"/>
    <mergeCell ref="F583:F584"/>
    <mergeCell ref="E547:E549"/>
    <mergeCell ref="E552:E557"/>
    <mergeCell ref="F552:F557"/>
    <mergeCell ref="E561:E565"/>
    <mergeCell ref="F561:F565"/>
    <mergeCell ref="E566:E571"/>
    <mergeCell ref="F566:F571"/>
    <mergeCell ref="E526:E527"/>
    <mergeCell ref="E529:E530"/>
    <mergeCell ref="F532:F534"/>
    <mergeCell ref="E538:E540"/>
    <mergeCell ref="F538:F540"/>
    <mergeCell ref="E543:E545"/>
    <mergeCell ref="F543:F545"/>
    <mergeCell ref="E512:E514"/>
    <mergeCell ref="F512:F514"/>
    <mergeCell ref="E515:E516"/>
    <mergeCell ref="E518:E519"/>
    <mergeCell ref="E522:E523"/>
    <mergeCell ref="F522:F523"/>
    <mergeCell ref="E502:E504"/>
    <mergeCell ref="F502:F504"/>
    <mergeCell ref="E505:E507"/>
    <mergeCell ref="F505:F507"/>
    <mergeCell ref="E509:E510"/>
    <mergeCell ref="F509:F510"/>
    <mergeCell ref="E482:E483"/>
    <mergeCell ref="F484:F485"/>
    <mergeCell ref="E486:E488"/>
    <mergeCell ref="E490:E491"/>
    <mergeCell ref="E494:E499"/>
    <mergeCell ref="F494:F499"/>
    <mergeCell ref="E468:E470"/>
    <mergeCell ref="F468:F470"/>
    <mergeCell ref="E471:E474"/>
    <mergeCell ref="F471:F474"/>
    <mergeCell ref="E477:E478"/>
    <mergeCell ref="F479:F480"/>
    <mergeCell ref="E459:E460"/>
    <mergeCell ref="F459:F460"/>
    <mergeCell ref="E461:E464"/>
    <mergeCell ref="F461:F464"/>
    <mergeCell ref="E465:E467"/>
    <mergeCell ref="F465:F467"/>
    <mergeCell ref="F437:F438"/>
    <mergeCell ref="E440:E442"/>
    <mergeCell ref="E448:E451"/>
    <mergeCell ref="F448:F451"/>
    <mergeCell ref="E452:E453"/>
    <mergeCell ref="E455:E457"/>
    <mergeCell ref="F455:F457"/>
    <mergeCell ref="F419:F420"/>
    <mergeCell ref="E421:E423"/>
    <mergeCell ref="E428:E429"/>
    <mergeCell ref="E431:E432"/>
    <mergeCell ref="F431:F432"/>
    <mergeCell ref="E433:E434"/>
    <mergeCell ref="E405:E406"/>
    <mergeCell ref="E407:E408"/>
    <mergeCell ref="F407:F408"/>
    <mergeCell ref="E409:E411"/>
    <mergeCell ref="E413:E414"/>
    <mergeCell ref="E416:E417"/>
    <mergeCell ref="E393:E394"/>
    <mergeCell ref="F393:F394"/>
    <mergeCell ref="E395:E397"/>
    <mergeCell ref="E399:E400"/>
    <mergeCell ref="E403:E404"/>
    <mergeCell ref="F403:F404"/>
    <mergeCell ref="E382:E383"/>
    <mergeCell ref="F382:F383"/>
    <mergeCell ref="E384:E387"/>
    <mergeCell ref="F384:F387"/>
    <mergeCell ref="E390:E392"/>
    <mergeCell ref="F390:F392"/>
    <mergeCell ref="E358:E365"/>
    <mergeCell ref="F358:F365"/>
    <mergeCell ref="E368:E376"/>
    <mergeCell ref="F368:F376"/>
    <mergeCell ref="E378:E381"/>
    <mergeCell ref="F378:F381"/>
    <mergeCell ref="E346:E348"/>
    <mergeCell ref="E349:E350"/>
    <mergeCell ref="F349:F350"/>
    <mergeCell ref="E351:E355"/>
    <mergeCell ref="F351:F355"/>
    <mergeCell ref="E356:E357"/>
    <mergeCell ref="F356:F357"/>
    <mergeCell ref="E337:E339"/>
    <mergeCell ref="F337:F339"/>
    <mergeCell ref="E340:E341"/>
    <mergeCell ref="F340:F341"/>
    <mergeCell ref="E343:E344"/>
    <mergeCell ref="F343:F344"/>
    <mergeCell ref="E323:E326"/>
    <mergeCell ref="E327:E328"/>
    <mergeCell ref="E329:E330"/>
    <mergeCell ref="E331:E332"/>
    <mergeCell ref="F331:F332"/>
    <mergeCell ref="E335:E336"/>
    <mergeCell ref="F335:F336"/>
    <mergeCell ref="E311:E314"/>
    <mergeCell ref="F311:F314"/>
    <mergeCell ref="E315:E318"/>
    <mergeCell ref="F315:F318"/>
    <mergeCell ref="E320:E322"/>
    <mergeCell ref="F320:F322"/>
    <mergeCell ref="E292:E294"/>
    <mergeCell ref="F292:F294"/>
    <mergeCell ref="E295:E298"/>
    <mergeCell ref="E303:E304"/>
    <mergeCell ref="F303:F304"/>
    <mergeCell ref="E306:E310"/>
    <mergeCell ref="F306:F310"/>
    <mergeCell ref="E285:E287"/>
    <mergeCell ref="F285:F287"/>
    <mergeCell ref="E288:E289"/>
    <mergeCell ref="F288:F289"/>
    <mergeCell ref="E290:E291"/>
    <mergeCell ref="F290:F291"/>
    <mergeCell ref="E273:E275"/>
    <mergeCell ref="F273:F275"/>
    <mergeCell ref="E276:E278"/>
    <mergeCell ref="F276:F278"/>
    <mergeCell ref="E282:E284"/>
    <mergeCell ref="F282:F284"/>
    <mergeCell ref="E257:E260"/>
    <mergeCell ref="F257:F260"/>
    <mergeCell ref="E261:E263"/>
    <mergeCell ref="E266:E268"/>
    <mergeCell ref="F266:F268"/>
    <mergeCell ref="E269:E272"/>
    <mergeCell ref="F269:F272"/>
    <mergeCell ref="E243:E247"/>
    <mergeCell ref="F243:F247"/>
    <mergeCell ref="E249:E251"/>
    <mergeCell ref="F249:F251"/>
    <mergeCell ref="E253:E255"/>
    <mergeCell ref="F253:F255"/>
    <mergeCell ref="E233:E235"/>
    <mergeCell ref="F233:F235"/>
    <mergeCell ref="E236:E240"/>
    <mergeCell ref="F236:F240"/>
    <mergeCell ref="E241:E242"/>
    <mergeCell ref="F241:F242"/>
    <mergeCell ref="E210:E216"/>
    <mergeCell ref="F210:F216"/>
    <mergeCell ref="E217:E222"/>
    <mergeCell ref="F217:F222"/>
    <mergeCell ref="E223:E230"/>
    <mergeCell ref="F223:F230"/>
    <mergeCell ref="E200:E201"/>
    <mergeCell ref="F200:F201"/>
    <mergeCell ref="E203:E204"/>
    <mergeCell ref="F203:F204"/>
    <mergeCell ref="E205:E206"/>
    <mergeCell ref="F205:F206"/>
    <mergeCell ref="E180:E184"/>
    <mergeCell ref="F180:F184"/>
    <mergeCell ref="E185:E189"/>
    <mergeCell ref="F185:F189"/>
    <mergeCell ref="E190:E197"/>
    <mergeCell ref="F190:F197"/>
    <mergeCell ref="E168:E169"/>
    <mergeCell ref="F168:F169"/>
    <mergeCell ref="E171:E172"/>
    <mergeCell ref="F171:F172"/>
    <mergeCell ref="E175:E179"/>
    <mergeCell ref="F175:F179"/>
    <mergeCell ref="E142:E151"/>
    <mergeCell ref="F142:F151"/>
    <mergeCell ref="E153:E159"/>
    <mergeCell ref="F153:F159"/>
    <mergeCell ref="E160:E167"/>
    <mergeCell ref="F160:F167"/>
    <mergeCell ref="E116:E125"/>
    <mergeCell ref="F116:F125"/>
    <mergeCell ref="E126:E131"/>
    <mergeCell ref="F126:F131"/>
    <mergeCell ref="E135:E141"/>
    <mergeCell ref="F135:F141"/>
    <mergeCell ref="E101:E102"/>
    <mergeCell ref="E103:E105"/>
    <mergeCell ref="F103:F105"/>
    <mergeCell ref="E106:E107"/>
    <mergeCell ref="E109:E115"/>
    <mergeCell ref="F109:F115"/>
    <mergeCell ref="E85:E86"/>
    <mergeCell ref="F85:F86"/>
    <mergeCell ref="E89:E90"/>
    <mergeCell ref="F89:F90"/>
    <mergeCell ref="E91:E94"/>
    <mergeCell ref="E96:E98"/>
    <mergeCell ref="F96:F98"/>
    <mergeCell ref="E65:E68"/>
    <mergeCell ref="E70:E72"/>
    <mergeCell ref="E73:E76"/>
    <mergeCell ref="E79:E81"/>
    <mergeCell ref="F79:F81"/>
    <mergeCell ref="E82:E83"/>
    <mergeCell ref="E51:E52"/>
    <mergeCell ref="E53:E56"/>
    <mergeCell ref="F53:F56"/>
    <mergeCell ref="F59:F60"/>
    <mergeCell ref="E61:E64"/>
    <mergeCell ref="F61:F64"/>
    <mergeCell ref="E42:E43"/>
    <mergeCell ref="F42:F43"/>
    <mergeCell ref="E45:E46"/>
    <mergeCell ref="F45:F46"/>
    <mergeCell ref="E47:E49"/>
    <mergeCell ref="F47:F49"/>
    <mergeCell ref="E22:E25"/>
    <mergeCell ref="F26:F28"/>
    <mergeCell ref="E31:E35"/>
    <mergeCell ref="F31:F35"/>
    <mergeCell ref="E36:E41"/>
    <mergeCell ref="F36:F40"/>
    <mergeCell ref="E2:E4"/>
    <mergeCell ref="F2:F4"/>
    <mergeCell ref="E6:E8"/>
    <mergeCell ref="E9:E11"/>
    <mergeCell ref="E13:E18"/>
    <mergeCell ref="F19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selmane</dc:creator>
  <cp:lastModifiedBy>Yassine selmane</cp:lastModifiedBy>
  <dcterms:created xsi:type="dcterms:W3CDTF">2026-04-21T09:51:09Z</dcterms:created>
  <dcterms:modified xsi:type="dcterms:W3CDTF">2026-04-21T09:53:15Z</dcterms:modified>
</cp:coreProperties>
</file>